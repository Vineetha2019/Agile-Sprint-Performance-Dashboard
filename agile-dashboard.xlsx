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ee\Documents\Data analysis\"/>
    </mc:Choice>
  </mc:AlternateContent>
  <xr:revisionPtr revIDLastSave="0" documentId="13_ncr:2001_{99587D00-8B42-411F-9D22-033D060A6CF0}" xr6:coauthVersionLast="47" xr6:coauthVersionMax="47" xr10:uidLastSave="{00000000-0000-0000-0000-000000000000}"/>
  <bookViews>
    <workbookView xWindow="-108" yWindow="-108" windowWidth="23256" windowHeight="12456" activeTab="2" xr2:uid="{9719B9AB-A075-435C-99AA-28E7CDD74CB6}"/>
  </bookViews>
  <sheets>
    <sheet name="Dashboard" sheetId="2" r:id="rId1"/>
    <sheet name="Burndown -sprint 1" sheetId="3" r:id="rId2"/>
    <sheet name="Agile Performance Dashboard" sheetId="6" r:id="rId3"/>
    <sheet name="Raw data " sheetId="1" r:id="rId4"/>
  </sheets>
  <calcPr calcId="191029"/>
  <pivotCaches>
    <pivotCache cacheId="0" r:id="rId5"/>
    <pivotCache cacheId="1" r:id="rId6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7" i="2" l="1"/>
  <c r="C48" i="2"/>
  <c r="C49" i="2"/>
  <c r="C50" i="2"/>
  <c r="C51" i="2"/>
  <c r="C52" i="2"/>
  <c r="C53" i="2"/>
  <c r="C54" i="2"/>
  <c r="C46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2" i="1"/>
</calcChain>
</file>

<file path=xl/sharedStrings.xml><?xml version="1.0" encoding="utf-8"?>
<sst xmlns="http://schemas.openxmlformats.org/spreadsheetml/2006/main" count="339" uniqueCount="156">
  <si>
    <t>Sprint</t>
  </si>
  <si>
    <t>Task ID</t>
  </si>
  <si>
    <t>Issue Type</t>
  </si>
  <si>
    <t>Summary</t>
  </si>
  <si>
    <t>Story Points</t>
  </si>
  <si>
    <t>Status</t>
  </si>
  <si>
    <t>Start Date</t>
  </si>
  <si>
    <t>End Date</t>
  </si>
  <si>
    <t>Assignee</t>
  </si>
  <si>
    <t>Sprint 1</t>
  </si>
  <si>
    <t>T1</t>
  </si>
  <si>
    <t>Story</t>
  </si>
  <si>
    <t>Update braking guidelines</t>
  </si>
  <si>
    <t>Done</t>
  </si>
  <si>
    <t>2025-01-02</t>
  </si>
  <si>
    <t>2025-01-04</t>
  </si>
  <si>
    <t>You</t>
  </si>
  <si>
    <t>T2</t>
  </si>
  <si>
    <t>Revise safety section</t>
  </si>
  <si>
    <t>2025-01-06</t>
  </si>
  <si>
    <t>Teammate A</t>
  </si>
  <si>
    <t>T3</t>
  </si>
  <si>
    <t>Task</t>
  </si>
  <si>
    <t>Format document layout</t>
  </si>
  <si>
    <t>2025-01-03</t>
  </si>
  <si>
    <t>2025-01-05</t>
  </si>
  <si>
    <t>T4</t>
  </si>
  <si>
    <t>Bug</t>
  </si>
  <si>
    <t>Fix content errors</t>
  </si>
  <si>
    <t>2025-01-07</t>
  </si>
  <si>
    <t>Teammate B</t>
  </si>
  <si>
    <t>Sprint 2</t>
  </si>
  <si>
    <t>T5</t>
  </si>
  <si>
    <t>Update driver instructions</t>
  </si>
  <si>
    <t>2025-01-16</t>
  </si>
  <si>
    <t>2025-01-20</t>
  </si>
  <si>
    <t>T6</t>
  </si>
  <si>
    <t>Add new compliance rules</t>
  </si>
  <si>
    <t>2025-01-22</t>
  </si>
  <si>
    <t>T7</t>
  </si>
  <si>
    <t>Review formatting</t>
  </si>
  <si>
    <t>2025-01-17</t>
  </si>
  <si>
    <t>2025-01-21</t>
  </si>
  <si>
    <t>T8</t>
  </si>
  <si>
    <t>Fix grammar issues</t>
  </si>
  <si>
    <t>2025-01-18</t>
  </si>
  <si>
    <t>Sprint 3</t>
  </si>
  <si>
    <t>T9</t>
  </si>
  <si>
    <t>Revise emergency procedures</t>
  </si>
  <si>
    <t>2025-01-30</t>
  </si>
  <si>
    <t>2025-02-05</t>
  </si>
  <si>
    <t>T10</t>
  </si>
  <si>
    <t>Content formatting</t>
  </si>
  <si>
    <t>2025-02-02</t>
  </si>
  <si>
    <t>T11</t>
  </si>
  <si>
    <t>Update safety visuals</t>
  </si>
  <si>
    <t>2025-01-31</t>
  </si>
  <si>
    <t>2025-02-06</t>
  </si>
  <si>
    <t>T12</t>
  </si>
  <si>
    <t>Fix inconsistencies</t>
  </si>
  <si>
    <t>2025-02-01</t>
  </si>
  <si>
    <t>2025-02-04</t>
  </si>
  <si>
    <t>Sprint 4</t>
  </si>
  <si>
    <t>T13</t>
  </si>
  <si>
    <t>Add new regulations</t>
  </si>
  <si>
    <t>2025-02-13</t>
  </si>
  <si>
    <t>2025-02-20</t>
  </si>
  <si>
    <t>T14</t>
  </si>
  <si>
    <t>Review handbook draft</t>
  </si>
  <si>
    <t>2025-02-18</t>
  </si>
  <si>
    <t>T15</t>
  </si>
  <si>
    <t>Fix formatting issues</t>
  </si>
  <si>
    <t>2025-02-14</t>
  </si>
  <si>
    <t>2025-02-19</t>
  </si>
  <si>
    <t>T16</t>
  </si>
  <si>
    <t>Update diagrams</t>
  </si>
  <si>
    <t>2025-02-15</t>
  </si>
  <si>
    <t>2025-02-21</t>
  </si>
  <si>
    <t>Sprint 5</t>
  </si>
  <si>
    <t>T17</t>
  </si>
  <si>
    <t>Revise fuel efficiency section</t>
  </si>
  <si>
    <t>2025-02-27</t>
  </si>
  <si>
    <t>2025-03-04</t>
  </si>
  <si>
    <t>T18</t>
  </si>
  <si>
    <t>Content editing</t>
  </si>
  <si>
    <t>2025-03-02</t>
  </si>
  <si>
    <t>T19</t>
  </si>
  <si>
    <t>Fix document errors</t>
  </si>
  <si>
    <t>2025-02-28</t>
  </si>
  <si>
    <t>2025-03-03</t>
  </si>
  <si>
    <t>T20</t>
  </si>
  <si>
    <t>Update driving guidelines</t>
  </si>
  <si>
    <t>2025-03-01</t>
  </si>
  <si>
    <t>2025-03-07</t>
  </si>
  <si>
    <t>Sprint 6</t>
  </si>
  <si>
    <t>T21</t>
  </si>
  <si>
    <t>Add safety updates</t>
  </si>
  <si>
    <t>2025-03-13</t>
  </si>
  <si>
    <t>2025-03-20</t>
  </si>
  <si>
    <t>T22</t>
  </si>
  <si>
    <t>Formatting and styling</t>
  </si>
  <si>
    <t>2025-03-18</t>
  </si>
  <si>
    <t>T23</t>
  </si>
  <si>
    <t>Fix layout issues</t>
  </si>
  <si>
    <t>2025-03-14</t>
  </si>
  <si>
    <t>2025-03-19</t>
  </si>
  <si>
    <t>T24</t>
  </si>
  <si>
    <t>Update compliance section</t>
  </si>
  <si>
    <t>2025-03-15</t>
  </si>
  <si>
    <t>2025-03-22</t>
  </si>
  <si>
    <t>Sprint 7</t>
  </si>
  <si>
    <t>T25</t>
  </si>
  <si>
    <t>Revise maintenance section</t>
  </si>
  <si>
    <t>2025-03-27</t>
  </si>
  <si>
    <t>2025-04-02</t>
  </si>
  <si>
    <t>T26</t>
  </si>
  <si>
    <t>Content cleanup</t>
  </si>
  <si>
    <t>2025-03-30</t>
  </si>
  <si>
    <t>T27</t>
  </si>
  <si>
    <t>Fix minor errors</t>
  </si>
  <si>
    <t>2025-03-28</t>
  </si>
  <si>
    <t>2025-04-01</t>
  </si>
  <si>
    <t>T28</t>
  </si>
  <si>
    <t>Update safety checklist</t>
  </si>
  <si>
    <t>2025-03-29</t>
  </si>
  <si>
    <t>2025-04-04</t>
  </si>
  <si>
    <t>Sprint 8</t>
  </si>
  <si>
    <t>T29</t>
  </si>
  <si>
    <t>Finalize handbook updates</t>
  </si>
  <si>
    <t>2025-04-10</t>
  </si>
  <si>
    <t>2025-04-15</t>
  </si>
  <si>
    <t>T30</t>
  </si>
  <si>
    <t>Final formatting</t>
  </si>
  <si>
    <t>2025-04-13</t>
  </si>
  <si>
    <t>T31</t>
  </si>
  <si>
    <t>Fix final issues</t>
  </si>
  <si>
    <t>2025-04-11</t>
  </si>
  <si>
    <t>2025-04-14</t>
  </si>
  <si>
    <t>T32</t>
  </si>
  <si>
    <t>Review and approval</t>
  </si>
  <si>
    <t>2025-04-12</t>
  </si>
  <si>
    <t>2025-04-16</t>
  </si>
  <si>
    <t>Cycle Time</t>
  </si>
  <si>
    <t>Row Labels</t>
  </si>
  <si>
    <t>Grand Total</t>
  </si>
  <si>
    <t>Sum of Story Points</t>
  </si>
  <si>
    <t>Average of Cycle Time</t>
  </si>
  <si>
    <t>Day</t>
  </si>
  <si>
    <t>Completed Today</t>
  </si>
  <si>
    <t>Ideal  -Pending work</t>
  </si>
  <si>
    <t>Actual -Pending work</t>
  </si>
  <si>
    <t>Average Velocity</t>
  </si>
  <si>
    <t>(blank)</t>
  </si>
  <si>
    <t>Count of Task ID</t>
  </si>
  <si>
    <t>Agile Sprint Performance Dashboard</t>
  </si>
  <si>
    <t>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</si>
</sst>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8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1" xfId="0" pivotButton="1" applyBorder="1"/>
    <xf numFmtId="164" fontId="0" fillId="0" borderId="1" xfId="0" applyNumberFormat="1" applyBorder="1"/>
    <xf numFmtId="0" fontId="0" fillId="0" borderId="3" xfId="0" applyBorder="1"/>
    <xf numFmtId="164" fontId="0" fillId="0" borderId="0" xfId="0" applyNumberForma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[Agile Performance Dashboard.xlsx]Dashboard!PivotTable1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Velocity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Dashboard!$A$4:$A$12</c:f>
              <c:strCache>
                <c:ptCount val="8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</c:strCache>
            </c:strRef>
          </c:cat>
          <c:val>
            <c:numRef>
              <c:f>Dashboard!$B$4:$B$12</c:f>
              <c:numCache>
                <c:formatCode>General</c:formatCode>
                <c:ptCount val="8"/>
                <c:pt idx="0">
                  <c:v>13</c:v>
                </c:pt>
                <c:pt idx="1">
                  <c:v>18</c:v>
                </c:pt>
                <c:pt idx="2">
                  <c:v>19</c:v>
                </c:pt>
                <c:pt idx="3">
                  <c:v>24</c:v>
                </c:pt>
                <c:pt idx="4">
                  <c:v>18</c:v>
                </c:pt>
                <c:pt idx="5">
                  <c:v>24</c:v>
                </c:pt>
                <c:pt idx="6">
                  <c:v>18</c:v>
                </c:pt>
                <c:pt idx="7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A3-40D4-833A-901E69D4D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5054320"/>
        <c:axId val="1965054800"/>
      </c:barChart>
      <c:catAx>
        <c:axId val="1965054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054800"/>
        <c:crosses val="autoZero"/>
        <c:auto val="1"/>
        <c:lblAlgn val="ctr"/>
        <c:lblOffset val="100"/>
        <c:noMultiLvlLbl val="0"/>
      </c:catAx>
      <c:valAx>
        <c:axId val="196505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054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[Agile Performance Dashboard.xlsx]Dashboard!PivotTable2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Cycle Time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Dashboard!$B$25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Dashboard!$A$26:$A$34</c:f>
              <c:strCache>
                <c:ptCount val="8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</c:strCache>
            </c:strRef>
          </c:cat>
          <c:val>
            <c:numRef>
              <c:f>Dashboard!$B$26:$B$34</c:f>
              <c:numCache>
                <c:formatCode>General</c:formatCode>
                <c:ptCount val="8"/>
                <c:pt idx="0">
                  <c:v>2.75</c:v>
                </c:pt>
                <c:pt idx="1">
                  <c:v>4</c:v>
                </c:pt>
                <c:pt idx="2">
                  <c:v>4.5</c:v>
                </c:pt>
                <c:pt idx="3">
                  <c:v>5.75</c:v>
                </c:pt>
                <c:pt idx="4">
                  <c:v>4.25</c:v>
                </c:pt>
                <c:pt idx="5">
                  <c:v>6</c:v>
                </c:pt>
                <c:pt idx="6">
                  <c:v>4.75</c:v>
                </c:pt>
                <c:pt idx="7">
                  <c:v>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B6-4366-B7F2-35EDACEBC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8032720"/>
        <c:axId val="2098047600"/>
      </c:lineChart>
      <c:catAx>
        <c:axId val="209803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047600"/>
        <c:crosses val="autoZero"/>
        <c:auto val="1"/>
        <c:lblAlgn val="ctr"/>
        <c:lblOffset val="100"/>
        <c:noMultiLvlLbl val="0"/>
      </c:catAx>
      <c:valAx>
        <c:axId val="209804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03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Cycle Time- Trend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Dashboard!$B$62</c:f>
              <c:strCache>
                <c:ptCount val="1"/>
                <c:pt idx="0">
                  <c:v>Average of Cycle 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strRef>
              <c:extLst>
                <c:ext xmlns:c15="http://schemas.microsoft.com/office/drawing/2012/chart" uri="{02D57815-91ED-43cb-92C2-25804820EDAC}">
                  <c15:fullRef>
                    <c15:sqref>Dashboard!$A$63:$A$71</c15:sqref>
                  </c15:fullRef>
                </c:ext>
              </c:extLst>
              <c:f>Dashboard!$A$63:$A$70</c:f>
              <c:strCache>
                <c:ptCount val="8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Dashboard!$B$63:$B$71</c15:sqref>
                  </c15:fullRef>
                </c:ext>
              </c:extLst>
              <c:f>Dashboard!$B$63:$B$70</c:f>
              <c:numCache>
                <c:formatCode>General</c:formatCode>
                <c:ptCount val="8"/>
                <c:pt idx="0">
                  <c:v>2.75</c:v>
                </c:pt>
                <c:pt idx="1">
                  <c:v>4</c:v>
                </c:pt>
                <c:pt idx="2">
                  <c:v>4.5</c:v>
                </c:pt>
                <c:pt idx="3">
                  <c:v>5.75</c:v>
                </c:pt>
                <c:pt idx="4">
                  <c:v>4.25</c:v>
                </c:pt>
                <c:pt idx="5">
                  <c:v>6</c:v>
                </c:pt>
                <c:pt idx="6">
                  <c:v>4.75</c:v>
                </c:pt>
                <c:pt idx="7">
                  <c:v>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4C-4D9F-978E-9AEC894F3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330496"/>
        <c:axId val="126332896"/>
      </c:lineChart>
      <c:catAx>
        <c:axId val="12633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32896"/>
        <c:crosses val="autoZero"/>
        <c:auto val="1"/>
        <c:lblAlgn val="ctr"/>
        <c:lblOffset val="100"/>
        <c:noMultiLvlLbl val="0"/>
      </c:catAx>
      <c:valAx>
        <c:axId val="12633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3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Sprint Throughput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Dashboard!$B$92</c:f>
              <c:strCache>
                <c:ptCount val="1"/>
                <c:pt idx="0">
                  <c:v>Count of Task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Dashboard!$A$93:$A$100</c:f>
              <c:strCache>
                <c:ptCount val="8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</c:strCache>
            </c:strRef>
          </c:cat>
          <c:val>
            <c:numRef>
              <c:f>Dashboard!$B$93:$B$100</c:f>
              <c:numCache>
                <c:formatCode>General</c:formatCode>
                <c:ptCount val="8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61-4F16-B7AA-6B1DAD161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8058160"/>
        <c:axId val="2098060560"/>
      </c:barChart>
      <c:catAx>
        <c:axId val="209805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060560"/>
        <c:crosses val="autoZero"/>
        <c:auto val="1"/>
        <c:lblAlgn val="ctr"/>
        <c:lblOffset val="100"/>
        <c:noMultiLvlLbl val="0"/>
      </c:catAx>
      <c:valAx>
        <c:axId val="209806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058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Sprint Velocity with average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Dashboard!$B$45</c:f>
              <c:strCache>
                <c:ptCount val="1"/>
                <c:pt idx="0">
                  <c:v>Velocity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Dashboard!$A$46:$A$53</c:f>
              <c:strCache>
                <c:ptCount val="8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</c:strCache>
            </c:strRef>
          </c:cat>
          <c:val>
            <c:numRef>
              <c:f>Dashboard!$B$46:$B$53</c:f>
              <c:numCache>
                <c:formatCode>General</c:formatCode>
                <c:ptCount val="8"/>
                <c:pt idx="0">
                  <c:v>13</c:v>
                </c:pt>
                <c:pt idx="1">
                  <c:v>18</c:v>
                </c:pt>
                <c:pt idx="2">
                  <c:v>19</c:v>
                </c:pt>
                <c:pt idx="3">
                  <c:v>24</c:v>
                </c:pt>
                <c:pt idx="4">
                  <c:v>18</c:v>
                </c:pt>
                <c:pt idx="5">
                  <c:v>24</c:v>
                </c:pt>
                <c:pt idx="6">
                  <c:v>18</c:v>
                </c:pt>
                <c:pt idx="7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44-4B01-BCC1-9E1382247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340096"/>
        <c:axId val="126344416"/>
      </c:barChart>
      <c:lineChart>
        <c:grouping val="standard"/>
        <c:varyColors val="0"/>
        <c:ser>
          <c:idx val="1"/>
          <c:order val="1"/>
          <c:tx>
            <c:strRef>
              <c:f>Dashboard!$C$45</c:f>
              <c:strCache>
                <c:ptCount val="1"/>
                <c:pt idx="0">
                  <c:v>Average Velocity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Dashboard!$A$46:$A$53</c:f>
              <c:strCache>
                <c:ptCount val="8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</c:strCache>
            </c:strRef>
          </c:cat>
          <c:val>
            <c:numRef>
              <c:f>Dashboard!$C$46:$C$53</c:f>
              <c:numCache>
                <c:formatCode>0.0</c:formatCode>
                <c:ptCount val="8"/>
                <c:pt idx="0">
                  <c:v>19.75</c:v>
                </c:pt>
                <c:pt idx="1">
                  <c:v>37.875</c:v>
                </c:pt>
                <c:pt idx="2">
                  <c:v>40.714285714285715</c:v>
                </c:pt>
                <c:pt idx="3">
                  <c:v>44.333333333333336</c:v>
                </c:pt>
                <c:pt idx="4">
                  <c:v>48.4</c:v>
                </c:pt>
                <c:pt idx="5">
                  <c:v>56</c:v>
                </c:pt>
                <c:pt idx="6">
                  <c:v>66.666666666666671</c:v>
                </c:pt>
                <c:pt idx="7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44-4B01-BCC1-9E1382247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340096"/>
        <c:axId val="126344416"/>
      </c:lineChart>
      <c:catAx>
        <c:axId val="126340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44416"/>
        <c:crosses val="autoZero"/>
        <c:auto val="1"/>
        <c:lblAlgn val="ctr"/>
        <c:lblOffset val="100"/>
        <c:noMultiLvlLbl val="0"/>
      </c:catAx>
      <c:valAx>
        <c:axId val="12634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4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'Burndown -sprint 1'!$A$1</c:f>
              <c:strCache>
                <c:ptCount val="1"/>
                <c:pt idx="0">
                  <c:v>Day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'Burndown -sprint 1'!$A$2:$A$8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7C-48B5-996A-758B41AEBE7A}"/>
            </c:ext>
          </c:extLst>
        </c:ser>
        <c:ser>
          <c:idx val="1"/>
          <c:order val="1"/>
          <c:tx>
            <c:strRef>
              <c:f>'Burndown -sprint 1'!$B$1</c:f>
              <c:strCache>
                <c:ptCount val="1"/>
                <c:pt idx="0">
                  <c:v>Ideal  -Pending work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'Burndown -sprint 1'!$B$2:$B$8</c:f>
              <c:numCache>
                <c:formatCode>General</c:formatCode>
                <c:ptCount val="7"/>
                <c:pt idx="0">
                  <c:v>19</c:v>
                </c:pt>
                <c:pt idx="1">
                  <c:v>16</c:v>
                </c:pt>
                <c:pt idx="2">
                  <c:v>13</c:v>
                </c:pt>
                <c:pt idx="3">
                  <c:v>10</c:v>
                </c:pt>
                <c:pt idx="4">
                  <c:v>7</c:v>
                </c:pt>
                <c:pt idx="5">
                  <c:v>3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7C-48B5-996A-758B41AEBE7A}"/>
            </c:ext>
          </c:extLst>
        </c:ser>
        <c:ser>
          <c:idx val="2"/>
          <c:order val="2"/>
          <c:tx>
            <c:strRef>
              <c:f>'Burndown -sprint 1'!$C$1</c:f>
              <c:strCache>
                <c:ptCount val="1"/>
                <c:pt idx="0">
                  <c:v>Actual -Pending work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'Burndown -sprint 1'!$C$2:$C$8</c:f>
              <c:numCache>
                <c:formatCode>General</c:formatCode>
                <c:ptCount val="7"/>
                <c:pt idx="0">
                  <c:v>19</c:v>
                </c:pt>
                <c:pt idx="1">
                  <c:v>19</c:v>
                </c:pt>
                <c:pt idx="2">
                  <c:v>17</c:v>
                </c:pt>
                <c:pt idx="3">
                  <c:v>14</c:v>
                </c:pt>
                <c:pt idx="4">
                  <c:v>10</c:v>
                </c:pt>
                <c:pt idx="5">
                  <c:v>4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7C-48B5-996A-758B41AEB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084080"/>
        <c:axId val="2098084560"/>
      </c:lineChart>
      <c:catAx>
        <c:axId val="2098084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084560"/>
        <c:crosses val="autoZero"/>
        <c:auto val="1"/>
        <c:lblAlgn val="ctr"/>
        <c:lblOffset val="100"/>
        <c:noMultiLvlLbl val="0"/>
      </c:catAx>
      <c:valAx>
        <c:axId val="209808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08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Sprint Velocity with average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Dashboard!$B$45</c:f>
              <c:strCache>
                <c:ptCount val="1"/>
                <c:pt idx="0">
                  <c:v>Velocity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Dashboard!$A$46:$A$53</c:f>
              <c:strCache>
                <c:ptCount val="8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</c:strCache>
            </c:strRef>
          </c:cat>
          <c:val>
            <c:numRef>
              <c:f>Dashboard!$B$46:$B$53</c:f>
              <c:numCache>
                <c:formatCode>General</c:formatCode>
                <c:ptCount val="8"/>
                <c:pt idx="0">
                  <c:v>13</c:v>
                </c:pt>
                <c:pt idx="1">
                  <c:v>18</c:v>
                </c:pt>
                <c:pt idx="2">
                  <c:v>19</c:v>
                </c:pt>
                <c:pt idx="3">
                  <c:v>24</c:v>
                </c:pt>
                <c:pt idx="4">
                  <c:v>18</c:v>
                </c:pt>
                <c:pt idx="5">
                  <c:v>24</c:v>
                </c:pt>
                <c:pt idx="6">
                  <c:v>18</c:v>
                </c:pt>
                <c:pt idx="7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D5-4541-AC7D-1109C480D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340096"/>
        <c:axId val="126344416"/>
      </c:barChart>
      <c:lineChart>
        <c:grouping val="standard"/>
        <c:varyColors val="0"/>
        <c:ser>
          <c:idx val="1"/>
          <c:order val="1"/>
          <c:tx>
            <c:strRef>
              <c:f>Dashboard!$C$45</c:f>
              <c:strCache>
                <c:ptCount val="1"/>
                <c:pt idx="0">
                  <c:v>Average Velocity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Dashboard!$A$46:$A$53</c:f>
              <c:strCache>
                <c:ptCount val="8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</c:strCache>
            </c:strRef>
          </c:cat>
          <c:val>
            <c:numRef>
              <c:f>Dashboard!$C$46:$C$53</c:f>
              <c:numCache>
                <c:formatCode>0.0</c:formatCode>
                <c:ptCount val="8"/>
                <c:pt idx="0">
                  <c:v>19.75</c:v>
                </c:pt>
                <c:pt idx="1">
                  <c:v>37.875</c:v>
                </c:pt>
                <c:pt idx="2">
                  <c:v>40.714285714285715</c:v>
                </c:pt>
                <c:pt idx="3">
                  <c:v>44.333333333333336</c:v>
                </c:pt>
                <c:pt idx="4">
                  <c:v>48.4</c:v>
                </c:pt>
                <c:pt idx="5">
                  <c:v>56</c:v>
                </c:pt>
                <c:pt idx="6">
                  <c:v>66.666666666666671</c:v>
                </c:pt>
                <c:pt idx="7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D5-4541-AC7D-1109C480D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340096"/>
        <c:axId val="126344416"/>
      </c:lineChart>
      <c:catAx>
        <c:axId val="126340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44416"/>
        <c:crosses val="autoZero"/>
        <c:auto val="1"/>
        <c:lblAlgn val="ctr"/>
        <c:lblOffset val="100"/>
        <c:noMultiLvlLbl val="0"/>
      </c:catAx>
      <c:valAx>
        <c:axId val="12634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4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 Cycle Time- Trend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Dashboard!$B$62</c:f>
              <c:strCache>
                <c:ptCount val="1"/>
                <c:pt idx="0">
                  <c:v>Average of Cycle 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strRef>
              <c:extLst>
                <c:ext xmlns:c15="http://schemas.microsoft.com/office/drawing/2012/chart" uri="{02D57815-91ED-43cb-92C2-25804820EDAC}">
                  <c15:fullRef>
                    <c15:sqref>Dashboard!$A$63:$A$71</c15:sqref>
                  </c15:fullRef>
                </c:ext>
              </c:extLst>
              <c:f>Dashboard!$A$63:$A$70</c:f>
              <c:strCache>
                <c:ptCount val="8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Dashboard!$B$63:$B$71</c15:sqref>
                  </c15:fullRef>
                </c:ext>
              </c:extLst>
              <c:f>Dashboard!$B$63:$B$70</c:f>
              <c:numCache>
                <c:formatCode>General</c:formatCode>
                <c:ptCount val="8"/>
                <c:pt idx="0">
                  <c:v>2.75</c:v>
                </c:pt>
                <c:pt idx="1">
                  <c:v>4</c:v>
                </c:pt>
                <c:pt idx="2">
                  <c:v>4.5</c:v>
                </c:pt>
                <c:pt idx="3">
                  <c:v>5.75</c:v>
                </c:pt>
                <c:pt idx="4">
                  <c:v>4.25</c:v>
                </c:pt>
                <c:pt idx="5">
                  <c:v>6</c:v>
                </c:pt>
                <c:pt idx="6">
                  <c:v>4.75</c:v>
                </c:pt>
                <c:pt idx="7">
                  <c:v>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63-467E-9AB8-5B13F96C9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330496"/>
        <c:axId val="126332896"/>
      </c:lineChart>
      <c:catAx>
        <c:axId val="12633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32896"/>
        <c:crosses val="autoZero"/>
        <c:auto val="1"/>
        <c:lblAlgn val="ctr"/>
        <c:lblOffset val="100"/>
        <c:noMultiLvlLbl val="0"/>
      </c:catAx>
      <c:valAx>
        <c:axId val="12633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3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Sprint Throughput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Dashboard!$B$92</c:f>
              <c:strCache>
                <c:ptCount val="1"/>
                <c:pt idx="0">
                  <c:v>Count of Task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Dashboard!$A$93:$A$100</c:f>
              <c:strCache>
                <c:ptCount val="8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</c:strCache>
            </c:strRef>
          </c:cat>
          <c:val>
            <c:numRef>
              <c:f>Dashboard!$B$93:$B$100</c:f>
              <c:numCache>
                <c:formatCode>General</c:formatCode>
                <c:ptCount val="8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9B-4117-8C32-B6D8B4081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8058160"/>
        <c:axId val="2098060560"/>
      </c:barChart>
      <c:catAx>
        <c:axId val="209805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060560"/>
        <c:crosses val="autoZero"/>
        <c:auto val="1"/>
        <c:lblAlgn val="ctr"/>
        <c:lblOffset val="100"/>
        <c:noMultiLvlLbl val="0"/>
      </c:catAx>
      <c:valAx>
        <c:axId val="209806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058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Burndown</a:t>
            </a:r>
            <a:r>
              <a:rPr lang="en-IN" b="1" baseline="0"/>
              <a:t> chart-Sprint 3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'Burndown -sprint 1'!$A$1</c:f>
              <c:strCache>
                <c:ptCount val="1"/>
                <c:pt idx="0">
                  <c:v>Day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'Burndown -sprint 1'!$A$2:$A$8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0E-4189-AE12-C9DBAF9DBD84}"/>
            </c:ext>
          </c:extLst>
        </c:ser>
        <c:ser>
          <c:idx val="1"/>
          <c:order val="1"/>
          <c:tx>
            <c:strRef>
              <c:f>'Burndown -sprint 1'!$B$1</c:f>
              <c:strCache>
                <c:ptCount val="1"/>
                <c:pt idx="0">
                  <c:v>Ideal  -Pending work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'Burndown -sprint 1'!$B$2:$B$8</c:f>
              <c:numCache>
                <c:formatCode>General</c:formatCode>
                <c:ptCount val="7"/>
                <c:pt idx="0">
                  <c:v>19</c:v>
                </c:pt>
                <c:pt idx="1">
                  <c:v>16</c:v>
                </c:pt>
                <c:pt idx="2">
                  <c:v>13</c:v>
                </c:pt>
                <c:pt idx="3">
                  <c:v>10</c:v>
                </c:pt>
                <c:pt idx="4">
                  <c:v>7</c:v>
                </c:pt>
                <c:pt idx="5">
                  <c:v>3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0E-4189-AE12-C9DBAF9DBD84}"/>
            </c:ext>
          </c:extLst>
        </c:ser>
        <c:ser>
          <c:idx val="2"/>
          <c:order val="2"/>
          <c:tx>
            <c:strRef>
              <c:f>'Burndown -sprint 1'!$C$1</c:f>
              <c:strCache>
                <c:ptCount val="1"/>
                <c:pt idx="0">
                  <c:v>Actual -Pending work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'Burndown -sprint 1'!$C$2:$C$8</c:f>
              <c:numCache>
                <c:formatCode>General</c:formatCode>
                <c:ptCount val="7"/>
                <c:pt idx="0">
                  <c:v>19</c:v>
                </c:pt>
                <c:pt idx="1">
                  <c:v>19</c:v>
                </c:pt>
                <c:pt idx="2">
                  <c:v>17</c:v>
                </c:pt>
                <c:pt idx="3">
                  <c:v>14</c:v>
                </c:pt>
                <c:pt idx="4">
                  <c:v>10</c:v>
                </c:pt>
                <c:pt idx="5">
                  <c:v>4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0E-4189-AE12-C9DBAF9DB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084080"/>
        <c:axId val="2098084560"/>
      </c:lineChart>
      <c:catAx>
        <c:axId val="2098084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084560"/>
        <c:crosses val="autoZero"/>
        <c:auto val="1"/>
        <c:lblAlgn val="ctr"/>
        <c:lblOffset val="100"/>
        <c:noMultiLvlLbl val="0"/>
      </c:catAx>
      <c:valAx>
        <c:axId val="209808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08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281940</xdr:colOff>
      <xdr:row>1</xdr:row>
      <xdr:rowOff>148590</xdr:rowOff>
    </xdr:from>
    <xdr:to>
      <xdr:col>14</xdr:col>
      <xdr:colOff>586740</xdr:colOff>
      <xdr:row>16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0D2943-BECB-CDDB-B77A-040A6FA8CA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251460</xdr:colOff>
      <xdr:row>18</xdr:row>
      <xdr:rowOff>87630</xdr:rowOff>
    </xdr:from>
    <xdr:to>
      <xdr:col>14</xdr:col>
      <xdr:colOff>556260</xdr:colOff>
      <xdr:row>33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3D64C9-04CD-BA4C-E819-40380A5068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502920</xdr:colOff>
      <xdr:row>57</xdr:row>
      <xdr:rowOff>19050</xdr:rowOff>
    </xdr:from>
    <xdr:to>
      <xdr:col>13</xdr:col>
      <xdr:colOff>198120</xdr:colOff>
      <xdr:row>72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95B57C0-8C43-F06B-CC47-BD0166EA16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83820</xdr:colOff>
      <xdr:row>82</xdr:row>
      <xdr:rowOff>41910</xdr:rowOff>
    </xdr:from>
    <xdr:to>
      <xdr:col>13</xdr:col>
      <xdr:colOff>388620</xdr:colOff>
      <xdr:row>97</xdr:row>
      <xdr:rowOff>41910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01F4CF4-86F0-DF00-5C0D-BB17EC9BD3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525780</xdr:colOff>
      <xdr:row>37</xdr:row>
      <xdr:rowOff>171450</xdr:rowOff>
    </xdr:from>
    <xdr:to>
      <xdr:col>13</xdr:col>
      <xdr:colOff>220980</xdr:colOff>
      <xdr:row>52</xdr:row>
      <xdr:rowOff>171450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EDB480C-CD96-4152-C893-13DC44462C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99060</xdr:colOff>
      <xdr:row>9</xdr:row>
      <xdr:rowOff>148590</xdr:rowOff>
    </xdr:from>
    <xdr:to>
      <xdr:col>8</xdr:col>
      <xdr:colOff>594360</xdr:colOff>
      <xdr:row>24</xdr:row>
      <xdr:rowOff>148590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F21CC0-203E-83AD-E8B8-A5CC329F0E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</xdr:colOff>
      <xdr:row>4</xdr:row>
      <xdr:rowOff>175260</xdr:rowOff>
    </xdr:from>
    <xdr:to>
      <xdr:col>9</xdr:col>
      <xdr:colOff>20280</xdr:colOff>
      <xdr:row>24</xdr:row>
      <xdr:rowOff>117660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7FAEBF-0C3F-48E9-9CFA-9752518DE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7620</xdr:colOff>
      <xdr:row>5</xdr:row>
      <xdr:rowOff>0</xdr:rowOff>
    </xdr:from>
    <xdr:to>
      <xdr:col>19</xdr:col>
      <xdr:colOff>530820</xdr:colOff>
      <xdr:row>24</xdr:row>
      <xdr:rowOff>125280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B8BBB0-5434-453C-AEB6-CD4FC2D4F2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106680</xdr:colOff>
      <xdr:row>29</xdr:row>
      <xdr:rowOff>15240</xdr:rowOff>
    </xdr:from>
    <xdr:to>
      <xdr:col>9</xdr:col>
      <xdr:colOff>20280</xdr:colOff>
      <xdr:row>48</xdr:row>
      <xdr:rowOff>140520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1BC470-D2D1-4F90-B73A-21C59F2EEA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29</xdr:row>
      <xdr:rowOff>0</xdr:rowOff>
    </xdr:from>
    <xdr:to>
      <xdr:col>19</xdr:col>
      <xdr:colOff>523200</xdr:colOff>
      <xdr:row>48</xdr:row>
      <xdr:rowOff>125280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1F7FA85-F1E7-4F09-93B1-DD4CCFF77D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0</xdr:col>
      <xdr:colOff>99060</xdr:colOff>
      <xdr:row>52</xdr:row>
      <xdr:rowOff>114299</xdr:rowOff>
    </xdr:from>
    <xdr:ext cx="12009120" cy="296227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E66AFA9-F81A-2E76-2FB5-9D6E6A3A8E47}"/>
            </a:ext>
          </a:extLst>
        </xdr:cNvPr>
        <xdr:cNvSpPr txBox="1"/>
      </xdr:nvSpPr>
      <xdr:spPr>
        <a:xfrm>
          <a:off x="99060" y="9524999"/>
          <a:ext cx="12009120" cy="2962276"/>
        </a:xfrm>
        <a:prstGeom prst="rect">
          <a:avLst/>
        </a:prstGeom>
        <a:solidFill>
          <a:schemeClr val="bg2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/>
            <a:t>Key Insights</a:t>
          </a:r>
          <a:endParaRPr lang="en-IN" sz="1100"/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200"/>
            <a:t>Velocity varies due to task complexity differences 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200"/>
            <a:t>Cycle time shows workflow inconsistency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200"/>
            <a:t>Throughput remains stable across sprints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200"/>
            <a:t>Burndown shows late sprint completion trend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200"/>
            <a:t>Sprint execution is stable but unevenly distributed</a:t>
          </a:r>
        </a:p>
        <a:p>
          <a:pPr marL="0" indent="0">
            <a:buFont typeface="Arial" panose="020B0604020202020204" pitchFamily="34" charset="0"/>
            <a:buChar char="•"/>
          </a:pPr>
          <a:endParaRPr lang="en-IN" sz="1400" b="1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/>
          <a:r>
            <a:rPr lang="en-IN" sz="1400" b="1">
              <a:solidFill>
                <a:schemeClr val="tx1"/>
              </a:solidFill>
              <a:latin typeface="+mn-lt"/>
              <a:ea typeface="+mn-ea"/>
              <a:cs typeface="+mn-cs"/>
            </a:rPr>
            <a:t>Recommedations</a:t>
          </a:r>
          <a:endParaRPr lang="en-IN" sz="1200">
            <a:effectLst/>
          </a:endParaRP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/>
            <a:t>Standardize task sizing for consistent velocity based on complexity, risk and impact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/>
            <a:t>Improve task breakdown to stabilize cycle time 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/>
            <a:t>Distribute workload evenly across sprint 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/>
            <a:t>Start working on tasks as</a:t>
          </a:r>
          <a:r>
            <a:rPr lang="en-IN" baseline="0"/>
            <a:t> soon as story is ready </a:t>
          </a:r>
          <a:endParaRPr lang="en-IN"/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/>
            <a:t>Track progress mid-sprint to avoid end loading or include in daily scrum meeting </a:t>
          </a:r>
          <a:endParaRPr lang="en-IN" sz="1200">
            <a:effectLst/>
          </a:endParaRPr>
        </a:p>
        <a:p>
          <a:pPr marL="171450" indent="-171450">
            <a:buFont typeface="Arial" panose="020B0604020202020204" pitchFamily="34" charset="0"/>
            <a:buChar char="•"/>
          </a:pPr>
          <a:endParaRPr lang="en-IN" sz="1200">
            <a:effectLst/>
          </a:endParaRPr>
        </a:p>
        <a:p>
          <a:pPr marL="171450" indent="-171450">
            <a:buFont typeface="Arial" panose="020B0604020202020204" pitchFamily="34" charset="0"/>
            <a:buChar char="•"/>
          </a:pPr>
          <a:endParaRPr lang="en-IN" sz="1200"/>
        </a:p>
        <a:p>
          <a:pPr marL="171450" indent="-171450">
            <a:buFont typeface="Arial" panose="020B0604020202020204" pitchFamily="34" charset="0"/>
            <a:buChar char="•"/>
          </a:pPr>
          <a:endParaRPr lang="en-IN" sz="1200"/>
        </a:p>
        <a:p>
          <a:pPr marL="171450" indent="-171450">
            <a:buFont typeface="Arial" panose="020B0604020202020204" pitchFamily="34" charset="0"/>
            <a:buChar char="•"/>
          </a:pPr>
          <a:endParaRPr lang="en-IN" sz="12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eetha V" refreshedDate="46125.484500462961" createdVersion="8" refreshedVersion="8" minRefreshableVersion="3" recordCount="32" xr:uid="{9AEF3703-6815-40DF-950B-C9861B1D78F6}">
  <cacheSource type="worksheet">
    <worksheetSource ref="A1:J33" sheet="Raw data "/>
  </cacheSource>
  <cacheFields count="10">
    <cacheField name="Sprint" numFmtId="0">
      <sharedItems count="8">
        <s v="Sprint 1"/>
        <s v="Sprint 2"/>
        <s v="Sprint 3"/>
        <s v="Sprint 4"/>
        <s v="Sprint 5"/>
        <s v="Sprint 6"/>
        <s v="Sprint 7"/>
        <s v="Sprint 8"/>
      </sharedItems>
    </cacheField>
    <cacheField name="Task ID" numFmtId="0">
      <sharedItems/>
    </cacheField>
    <cacheField name="Issue Type" numFmtId="0">
      <sharedItems/>
    </cacheField>
    <cacheField name="Summary" numFmtId="0">
      <sharedItems/>
    </cacheField>
    <cacheField name="Story Points" numFmtId="0">
      <sharedItems containsSemiMixedTypes="0" containsString="0" containsNumber="1" containsInteger="1" minValue="2" maxValue="8"/>
    </cacheField>
    <cacheField name="Status" numFmtId="0">
      <sharedItems/>
    </cacheField>
    <cacheField name="Start Date" numFmtId="0">
      <sharedItems/>
    </cacheField>
    <cacheField name="End Date" numFmtId="0">
      <sharedItems/>
    </cacheField>
    <cacheField name="Assignee" numFmtId="0">
      <sharedItems/>
    </cacheField>
    <cacheField name="Cycle Time" numFmtId="0">
      <sharedItems containsSemiMixedTypes="0" containsString="0" containsNumber="1" containsInteger="1" minValue="2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eetha V" refreshedDate="46126.413846180556" createdVersion="8" refreshedVersion="8" minRefreshableVersion="3" recordCount="33" xr:uid="{400F82ED-E507-4654-82A3-1D3747E1C4A6}">
  <cacheSource type="worksheet">
    <worksheetSource ref="A1:J1048576" sheet="Raw data "/>
  </cacheSource>
  <cacheFields count="10">
    <cacheField name="Sprint" numFmtId="0">
      <sharedItems containsBlank="1" count="9">
        <s v="Sprint 1"/>
        <s v="Sprint 2"/>
        <s v="Sprint 3"/>
        <s v="Sprint 4"/>
        <s v="Sprint 5"/>
        <s v="Sprint 6"/>
        <s v="Sprint 7"/>
        <s v="Sprint 8"/>
        <m/>
      </sharedItems>
    </cacheField>
    <cacheField name="Task ID" numFmtId="0">
      <sharedItems containsBlank="1"/>
    </cacheField>
    <cacheField name="Issue Type" numFmtId="0">
      <sharedItems containsBlank="1"/>
    </cacheField>
    <cacheField name="Summary" numFmtId="0">
      <sharedItems containsBlank="1"/>
    </cacheField>
    <cacheField name="Story Points" numFmtId="0">
      <sharedItems containsString="0" containsBlank="1" containsNumber="1" containsInteger="1" minValue="2" maxValue="8"/>
    </cacheField>
    <cacheField name="Status" numFmtId="0">
      <sharedItems containsBlank="1"/>
    </cacheField>
    <cacheField name="Start Date" numFmtId="0">
      <sharedItems containsBlank="1"/>
    </cacheField>
    <cacheField name="End Date" numFmtId="0">
      <sharedItems containsBlank="1"/>
    </cacheField>
    <cacheField name="Assignee" numFmtId="0">
      <sharedItems containsBlank="1"/>
    </cacheField>
    <cacheField name="Cycle Time" numFmtId="0">
      <sharedItems containsString="0" containsBlank="1" containsNumber="1" containsInteger="1" minValue="2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s v="T1"/>
    <s v="Story"/>
    <s v="Update braking guidelines"/>
    <n v="3"/>
    <s v="Done"/>
    <s v="2025-01-02"/>
    <s v="2025-01-04"/>
    <s v="You"/>
    <n v="2"/>
  </r>
  <r>
    <x v="0"/>
    <s v="T2"/>
    <s v="Story"/>
    <s v="Revise safety section"/>
    <n v="5"/>
    <s v="Done"/>
    <s v="2025-01-02"/>
    <s v="2025-01-06"/>
    <s v="Teammate A"/>
    <n v="4"/>
  </r>
  <r>
    <x v="0"/>
    <s v="T3"/>
    <s v="Task"/>
    <s v="Format document layout"/>
    <n v="2"/>
    <s v="Done"/>
    <s v="2025-01-03"/>
    <s v="2025-01-05"/>
    <s v="You"/>
    <n v="2"/>
  </r>
  <r>
    <x v="0"/>
    <s v="T4"/>
    <s v="Bug"/>
    <s v="Fix content errors"/>
    <n v="3"/>
    <s v="Done"/>
    <s v="2025-01-04"/>
    <s v="2025-01-07"/>
    <s v="Teammate B"/>
    <n v="3"/>
  </r>
  <r>
    <x v="1"/>
    <s v="T5"/>
    <s v="Story"/>
    <s v="Update driver instructions"/>
    <n v="5"/>
    <s v="Done"/>
    <s v="2025-01-16"/>
    <s v="2025-01-20"/>
    <s v="You"/>
    <n v="4"/>
  </r>
  <r>
    <x v="1"/>
    <s v="T6"/>
    <s v="Story"/>
    <s v="Add new compliance rules"/>
    <n v="8"/>
    <s v="Done"/>
    <s v="2025-01-16"/>
    <s v="2025-01-22"/>
    <s v="Teammate A"/>
    <n v="6"/>
  </r>
  <r>
    <x v="1"/>
    <s v="T7"/>
    <s v="Task"/>
    <s v="Review formatting"/>
    <n v="3"/>
    <s v="Done"/>
    <s v="2025-01-17"/>
    <s v="2025-01-21"/>
    <s v="Teammate B"/>
    <n v="4"/>
  </r>
  <r>
    <x v="1"/>
    <s v="T8"/>
    <s v="Bug"/>
    <s v="Fix grammar issues"/>
    <n v="2"/>
    <s v="Done"/>
    <s v="2025-01-18"/>
    <s v="2025-01-20"/>
    <s v="You"/>
    <n v="2"/>
  </r>
  <r>
    <x v="2"/>
    <s v="T9"/>
    <s v="Story"/>
    <s v="Revise emergency procedures"/>
    <n v="8"/>
    <s v="Done"/>
    <s v="2025-01-30"/>
    <s v="2025-02-05"/>
    <s v="Teammate A"/>
    <n v="6"/>
  </r>
  <r>
    <x v="2"/>
    <s v="T10"/>
    <s v="Task"/>
    <s v="Content formatting"/>
    <n v="3"/>
    <s v="Done"/>
    <s v="2025-01-30"/>
    <s v="2025-02-02"/>
    <s v="You"/>
    <n v="3"/>
  </r>
  <r>
    <x v="2"/>
    <s v="T11"/>
    <s v="Story"/>
    <s v="Update safety visuals"/>
    <n v="5"/>
    <s v="Done"/>
    <s v="2025-01-31"/>
    <s v="2025-02-06"/>
    <s v="Teammate B"/>
    <n v="6"/>
  </r>
  <r>
    <x v="2"/>
    <s v="T12"/>
    <s v="Bug"/>
    <s v="Fix inconsistencies"/>
    <n v="3"/>
    <s v="Done"/>
    <s v="2025-02-01"/>
    <s v="2025-02-04"/>
    <s v="You"/>
    <n v="3"/>
  </r>
  <r>
    <x v="3"/>
    <s v="T13"/>
    <s v="Story"/>
    <s v="Add new regulations"/>
    <n v="8"/>
    <s v="Done"/>
    <s v="2025-02-13"/>
    <s v="2025-02-20"/>
    <s v="Teammate A"/>
    <n v="7"/>
  </r>
  <r>
    <x v="3"/>
    <s v="T14"/>
    <s v="Task"/>
    <s v="Review handbook draft"/>
    <n v="5"/>
    <s v="Done"/>
    <s v="2025-02-13"/>
    <s v="2025-02-18"/>
    <s v="You"/>
    <n v="5"/>
  </r>
  <r>
    <x v="3"/>
    <s v="T15"/>
    <s v="Bug"/>
    <s v="Fix formatting issues"/>
    <n v="3"/>
    <s v="Done"/>
    <s v="2025-02-14"/>
    <s v="2025-02-19"/>
    <s v="Teammate B"/>
    <n v="5"/>
  </r>
  <r>
    <x v="3"/>
    <s v="T16"/>
    <s v="Story"/>
    <s v="Update diagrams"/>
    <n v="8"/>
    <s v="Done"/>
    <s v="2025-02-15"/>
    <s v="2025-02-21"/>
    <s v="You"/>
    <n v="6"/>
  </r>
  <r>
    <x v="4"/>
    <s v="T17"/>
    <s v="Story"/>
    <s v="Revise fuel efficiency section"/>
    <n v="5"/>
    <s v="Done"/>
    <s v="2025-02-27"/>
    <s v="2025-03-04"/>
    <s v="Teammate A"/>
    <n v="5"/>
  </r>
  <r>
    <x v="4"/>
    <s v="T18"/>
    <s v="Task"/>
    <s v="Content editing"/>
    <n v="3"/>
    <s v="Done"/>
    <s v="2025-02-27"/>
    <s v="2025-03-02"/>
    <s v="You"/>
    <n v="3"/>
  </r>
  <r>
    <x v="4"/>
    <s v="T19"/>
    <s v="Bug"/>
    <s v="Fix document errors"/>
    <n v="2"/>
    <s v="Done"/>
    <s v="2025-02-28"/>
    <s v="2025-03-03"/>
    <s v="Teammate B"/>
    <n v="3"/>
  </r>
  <r>
    <x v="4"/>
    <s v="T20"/>
    <s v="Story"/>
    <s v="Update driving guidelines"/>
    <n v="8"/>
    <s v="Done"/>
    <s v="2025-03-01"/>
    <s v="2025-03-07"/>
    <s v="You"/>
    <n v="6"/>
  </r>
  <r>
    <x v="5"/>
    <s v="T21"/>
    <s v="Story"/>
    <s v="Add safety updates"/>
    <n v="8"/>
    <s v="Done"/>
    <s v="2025-03-13"/>
    <s v="2025-03-20"/>
    <s v="Teammate A"/>
    <n v="7"/>
  </r>
  <r>
    <x v="5"/>
    <s v="T22"/>
    <s v="Task"/>
    <s v="Formatting and styling"/>
    <n v="5"/>
    <s v="Done"/>
    <s v="2025-03-13"/>
    <s v="2025-03-18"/>
    <s v="You"/>
    <n v="5"/>
  </r>
  <r>
    <x v="5"/>
    <s v="T23"/>
    <s v="Bug"/>
    <s v="Fix layout issues"/>
    <n v="3"/>
    <s v="Done"/>
    <s v="2025-03-14"/>
    <s v="2025-03-19"/>
    <s v="Teammate B"/>
    <n v="5"/>
  </r>
  <r>
    <x v="5"/>
    <s v="T24"/>
    <s v="Story"/>
    <s v="Update compliance section"/>
    <n v="8"/>
    <s v="Done"/>
    <s v="2025-03-15"/>
    <s v="2025-03-22"/>
    <s v="You"/>
    <n v="7"/>
  </r>
  <r>
    <x v="6"/>
    <s v="T25"/>
    <s v="Story"/>
    <s v="Revise maintenance section"/>
    <n v="5"/>
    <s v="Done"/>
    <s v="2025-03-27"/>
    <s v="2025-04-02"/>
    <s v="Teammate A"/>
    <n v="6"/>
  </r>
  <r>
    <x v="6"/>
    <s v="T26"/>
    <s v="Task"/>
    <s v="Content cleanup"/>
    <n v="3"/>
    <s v="Done"/>
    <s v="2025-03-27"/>
    <s v="2025-03-30"/>
    <s v="You"/>
    <n v="3"/>
  </r>
  <r>
    <x v="6"/>
    <s v="T27"/>
    <s v="Bug"/>
    <s v="Fix minor errors"/>
    <n v="2"/>
    <s v="Done"/>
    <s v="2025-03-28"/>
    <s v="2025-04-01"/>
    <s v="Teammate B"/>
    <n v="4"/>
  </r>
  <r>
    <x v="6"/>
    <s v="T28"/>
    <s v="Story"/>
    <s v="Update safety checklist"/>
    <n v="8"/>
    <s v="Done"/>
    <s v="2025-03-29"/>
    <s v="2025-04-04"/>
    <s v="You"/>
    <n v="6"/>
  </r>
  <r>
    <x v="7"/>
    <s v="T29"/>
    <s v="Story"/>
    <s v="Finalize handbook updates"/>
    <n v="8"/>
    <s v="Done"/>
    <s v="2025-04-10"/>
    <s v="2025-04-15"/>
    <s v="Teammate A"/>
    <n v="5"/>
  </r>
  <r>
    <x v="7"/>
    <s v="T30"/>
    <s v="Task"/>
    <s v="Final formatting"/>
    <n v="5"/>
    <s v="Done"/>
    <s v="2025-04-10"/>
    <s v="2025-04-13"/>
    <s v="You"/>
    <n v="3"/>
  </r>
  <r>
    <x v="7"/>
    <s v="T31"/>
    <s v="Bug"/>
    <s v="Fix final issues"/>
    <n v="3"/>
    <s v="Done"/>
    <s v="2025-04-11"/>
    <s v="2025-04-14"/>
    <s v="Teammate B"/>
    <n v="3"/>
  </r>
  <r>
    <x v="7"/>
    <s v="T32"/>
    <s v="Story"/>
    <s v="Review and approval"/>
    <n v="8"/>
    <s v="Done"/>
    <s v="2025-04-12"/>
    <s v="2025-04-16"/>
    <s v="You"/>
    <n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x v="0"/>
    <s v="T1"/>
    <s v="Story"/>
    <s v="Update braking guidelines"/>
    <n v="3"/>
    <s v="Done"/>
    <s v="2025-01-02"/>
    <s v="2025-01-04"/>
    <s v="You"/>
    <n v="2"/>
  </r>
  <r>
    <x v="0"/>
    <s v="T2"/>
    <s v="Story"/>
    <s v="Revise safety section"/>
    <n v="5"/>
    <s v="Done"/>
    <s v="2025-01-02"/>
    <s v="2025-01-06"/>
    <s v="Teammate A"/>
    <n v="4"/>
  </r>
  <r>
    <x v="0"/>
    <s v="T3"/>
    <s v="Task"/>
    <s v="Format document layout"/>
    <n v="2"/>
    <s v="Done"/>
    <s v="2025-01-03"/>
    <s v="2025-01-05"/>
    <s v="You"/>
    <n v="2"/>
  </r>
  <r>
    <x v="0"/>
    <s v="T4"/>
    <s v="Bug"/>
    <s v="Fix content errors"/>
    <n v="3"/>
    <s v="Done"/>
    <s v="2025-01-04"/>
    <s v="2025-01-07"/>
    <s v="Teammate B"/>
    <n v="3"/>
  </r>
  <r>
    <x v="1"/>
    <s v="T5"/>
    <s v="Story"/>
    <s v="Update driver instructions"/>
    <n v="5"/>
    <s v="Done"/>
    <s v="2025-01-16"/>
    <s v="2025-01-20"/>
    <s v="You"/>
    <n v="4"/>
  </r>
  <r>
    <x v="1"/>
    <s v="T6"/>
    <s v="Story"/>
    <s v="Add new compliance rules"/>
    <n v="8"/>
    <s v="Done"/>
    <s v="2025-01-16"/>
    <s v="2025-01-22"/>
    <s v="Teammate A"/>
    <n v="6"/>
  </r>
  <r>
    <x v="1"/>
    <s v="T7"/>
    <s v="Task"/>
    <s v="Review formatting"/>
    <n v="3"/>
    <s v="Done"/>
    <s v="2025-01-17"/>
    <s v="2025-01-21"/>
    <s v="Teammate B"/>
    <n v="4"/>
  </r>
  <r>
    <x v="1"/>
    <s v="T8"/>
    <s v="Bug"/>
    <s v="Fix grammar issues"/>
    <n v="2"/>
    <s v="Done"/>
    <s v="2025-01-18"/>
    <s v="2025-01-20"/>
    <s v="You"/>
    <n v="2"/>
  </r>
  <r>
    <x v="2"/>
    <s v="T9"/>
    <s v="Story"/>
    <s v="Revise emergency procedures"/>
    <n v="8"/>
    <s v="Done"/>
    <s v="2025-01-30"/>
    <s v="2025-02-05"/>
    <s v="Teammate A"/>
    <n v="6"/>
  </r>
  <r>
    <x v="2"/>
    <s v="T10"/>
    <s v="Task"/>
    <s v="Content formatting"/>
    <n v="3"/>
    <s v="Done"/>
    <s v="2025-01-30"/>
    <s v="2025-02-02"/>
    <s v="You"/>
    <n v="3"/>
  </r>
  <r>
    <x v="2"/>
    <s v="T11"/>
    <s v="Story"/>
    <s v="Update safety visuals"/>
    <n v="5"/>
    <s v="Done"/>
    <s v="2025-01-31"/>
    <s v="2025-02-06"/>
    <s v="Teammate B"/>
    <n v="6"/>
  </r>
  <r>
    <x v="2"/>
    <s v="T12"/>
    <s v="Bug"/>
    <s v="Fix inconsistencies"/>
    <n v="3"/>
    <s v="Done"/>
    <s v="2025-02-01"/>
    <s v="2025-02-04"/>
    <s v="You"/>
    <n v="3"/>
  </r>
  <r>
    <x v="3"/>
    <s v="T13"/>
    <s v="Story"/>
    <s v="Add new regulations"/>
    <n v="8"/>
    <s v="Done"/>
    <s v="2025-02-13"/>
    <s v="2025-02-20"/>
    <s v="Teammate A"/>
    <n v="7"/>
  </r>
  <r>
    <x v="3"/>
    <s v="T14"/>
    <s v="Task"/>
    <s v="Review handbook draft"/>
    <n v="5"/>
    <s v="Done"/>
    <s v="2025-02-13"/>
    <s v="2025-02-18"/>
    <s v="You"/>
    <n v="5"/>
  </r>
  <r>
    <x v="3"/>
    <s v="T15"/>
    <s v="Bug"/>
    <s v="Fix formatting issues"/>
    <n v="3"/>
    <s v="Done"/>
    <s v="2025-02-14"/>
    <s v="2025-02-19"/>
    <s v="Teammate B"/>
    <n v="5"/>
  </r>
  <r>
    <x v="3"/>
    <s v="T16"/>
    <s v="Story"/>
    <s v="Update diagrams"/>
    <n v="8"/>
    <s v="Done"/>
    <s v="2025-02-15"/>
    <s v="2025-02-21"/>
    <s v="You"/>
    <n v="6"/>
  </r>
  <r>
    <x v="4"/>
    <s v="T17"/>
    <s v="Story"/>
    <s v="Revise fuel efficiency section"/>
    <n v="5"/>
    <s v="Done"/>
    <s v="2025-02-27"/>
    <s v="2025-03-04"/>
    <s v="Teammate A"/>
    <n v="5"/>
  </r>
  <r>
    <x v="4"/>
    <s v="T18"/>
    <s v="Task"/>
    <s v="Content editing"/>
    <n v="3"/>
    <s v="Done"/>
    <s v="2025-02-27"/>
    <s v="2025-03-02"/>
    <s v="You"/>
    <n v="3"/>
  </r>
  <r>
    <x v="4"/>
    <s v="T19"/>
    <s v="Bug"/>
    <s v="Fix document errors"/>
    <n v="2"/>
    <s v="Done"/>
    <s v="2025-02-28"/>
    <s v="2025-03-03"/>
    <s v="Teammate B"/>
    <n v="3"/>
  </r>
  <r>
    <x v="4"/>
    <s v="T20"/>
    <s v="Story"/>
    <s v="Update driving guidelines"/>
    <n v="8"/>
    <s v="Done"/>
    <s v="2025-03-01"/>
    <s v="2025-03-07"/>
    <s v="You"/>
    <n v="6"/>
  </r>
  <r>
    <x v="5"/>
    <s v="T21"/>
    <s v="Story"/>
    <s v="Add safety updates"/>
    <n v="8"/>
    <s v="Done"/>
    <s v="2025-03-13"/>
    <s v="2025-03-20"/>
    <s v="Teammate A"/>
    <n v="7"/>
  </r>
  <r>
    <x v="5"/>
    <s v="T22"/>
    <s v="Task"/>
    <s v="Formatting and styling"/>
    <n v="5"/>
    <s v="Done"/>
    <s v="2025-03-13"/>
    <s v="2025-03-18"/>
    <s v="You"/>
    <n v="5"/>
  </r>
  <r>
    <x v="5"/>
    <s v="T23"/>
    <s v="Bug"/>
    <s v="Fix layout issues"/>
    <n v="3"/>
    <s v="Done"/>
    <s v="2025-03-14"/>
    <s v="2025-03-19"/>
    <s v="Teammate B"/>
    <n v="5"/>
  </r>
  <r>
    <x v="5"/>
    <s v="T24"/>
    <s v="Story"/>
    <s v="Update compliance section"/>
    <n v="8"/>
    <s v="Done"/>
    <s v="2025-03-15"/>
    <s v="2025-03-22"/>
    <s v="You"/>
    <n v="7"/>
  </r>
  <r>
    <x v="6"/>
    <s v="T25"/>
    <s v="Story"/>
    <s v="Revise maintenance section"/>
    <n v="5"/>
    <s v="Done"/>
    <s v="2025-03-27"/>
    <s v="2025-04-02"/>
    <s v="Teammate A"/>
    <n v="6"/>
  </r>
  <r>
    <x v="6"/>
    <s v="T26"/>
    <s v="Task"/>
    <s v="Content cleanup"/>
    <n v="3"/>
    <s v="Done"/>
    <s v="2025-03-27"/>
    <s v="2025-03-30"/>
    <s v="You"/>
    <n v="3"/>
  </r>
  <r>
    <x v="6"/>
    <s v="T27"/>
    <s v="Bug"/>
    <s v="Fix minor errors"/>
    <n v="2"/>
    <s v="Done"/>
    <s v="2025-03-28"/>
    <s v="2025-04-01"/>
    <s v="Teammate B"/>
    <n v="4"/>
  </r>
  <r>
    <x v="6"/>
    <s v="T28"/>
    <s v="Story"/>
    <s v="Update safety checklist"/>
    <n v="8"/>
    <s v="Done"/>
    <s v="2025-03-29"/>
    <s v="2025-04-04"/>
    <s v="You"/>
    <n v="6"/>
  </r>
  <r>
    <x v="7"/>
    <s v="T29"/>
    <s v="Story"/>
    <s v="Finalize handbook updates"/>
    <n v="8"/>
    <s v="Done"/>
    <s v="2025-04-10"/>
    <s v="2025-04-15"/>
    <s v="Teammate A"/>
    <n v="5"/>
  </r>
  <r>
    <x v="7"/>
    <s v="T30"/>
    <s v="Task"/>
    <s v="Final formatting"/>
    <n v="5"/>
    <s v="Done"/>
    <s v="2025-04-10"/>
    <s v="2025-04-13"/>
    <s v="You"/>
    <n v="3"/>
  </r>
  <r>
    <x v="7"/>
    <s v="T31"/>
    <s v="Bug"/>
    <s v="Fix final issues"/>
    <n v="3"/>
    <s v="Done"/>
    <s v="2025-04-11"/>
    <s v="2025-04-14"/>
    <s v="Teammate B"/>
    <n v="3"/>
  </r>
  <r>
    <x v="7"/>
    <s v="T32"/>
    <s v="Story"/>
    <s v="Review and approval"/>
    <n v="8"/>
    <s v="Done"/>
    <s v="2025-04-12"/>
    <s v="2025-04-16"/>
    <s v="You"/>
    <n v="4"/>
  </r>
  <r>
    <x v="8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02022D-7349-4543-A7CA-B84C4831915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2" firstHeaderRow="1" firstDataRow="1" firstDataCol="1"/>
  <pivotFields count="10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tory Points" fld="4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682A68-9ECC-4D0E-9B65-906D976F710A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9:B89" firstHeaderRow="1" firstDataRow="1" firstDataCol="1"/>
  <pivotFields count="10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Task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A50608-462E-4B18-9347-8D8648EBE73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5:B34" firstHeaderRow="1" firstDataRow="1" firstDataCol="1"/>
  <pivotFields count="10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Cycle Time" fld="9" subtotal="average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631A2-0EB8-4D1C-B481-6C42006AE45A}">
  <dimension ref="A1:C101"/>
  <sheetViews>
    <sheetView workbookViewId="0">
      <selection activeCell="H82" sqref="H82"/>
    </sheetView>
  </sheetViews>
  <sheetFormatPr defaultRowHeight="14.4" x14ac:dyDescent="0.3"/>
  <cols>
    <col min="1" max="1" width="12.5546875" bestFit="1" customWidth="1"/>
    <col min="2" max="2" width="19.77734375" bestFit="1" customWidth="1"/>
    <col min="3" max="3" width="14.6640625" bestFit="1" customWidth="1"/>
  </cols>
  <sheetData>
    <row r="1" spans="1:3" x14ac:dyDescent="0.3">
      <c r="C1" s="12"/>
    </row>
    <row r="2" spans="1:3" x14ac:dyDescent="0.3">
      <c r="C2" s="12"/>
    </row>
    <row r="3" spans="1:3" x14ac:dyDescent="0.3">
      <c r="A3" s="9" t="s">
        <v>143</v>
      </c>
      <c r="B3" s="11" t="s">
        <v>145</v>
      </c>
      <c r="C3" s="12"/>
    </row>
    <row r="4" spans="1:3" x14ac:dyDescent="0.3">
      <c r="A4" s="3" t="s">
        <v>9</v>
      </c>
      <c r="B4" s="11">
        <v>13</v>
      </c>
      <c r="C4" s="12"/>
    </row>
    <row r="5" spans="1:3" x14ac:dyDescent="0.3">
      <c r="A5" s="3" t="s">
        <v>31</v>
      </c>
      <c r="B5" s="11">
        <v>18</v>
      </c>
      <c r="C5" s="12"/>
    </row>
    <row r="6" spans="1:3" x14ac:dyDescent="0.3">
      <c r="A6" s="3" t="s">
        <v>46</v>
      </c>
      <c r="B6" s="11">
        <v>19</v>
      </c>
      <c r="C6" s="12"/>
    </row>
    <row r="7" spans="1:3" x14ac:dyDescent="0.3">
      <c r="A7" s="3" t="s">
        <v>62</v>
      </c>
      <c r="B7" s="11">
        <v>24</v>
      </c>
      <c r="C7" s="12"/>
    </row>
    <row r="8" spans="1:3" x14ac:dyDescent="0.3">
      <c r="A8" s="3" t="s">
        <v>78</v>
      </c>
      <c r="B8" s="11">
        <v>18</v>
      </c>
      <c r="C8" s="12"/>
    </row>
    <row r="9" spans="1:3" x14ac:dyDescent="0.3">
      <c r="A9" s="3" t="s">
        <v>94</v>
      </c>
      <c r="B9" s="11">
        <v>24</v>
      </c>
      <c r="C9" s="12"/>
    </row>
    <row r="10" spans="1:3" x14ac:dyDescent="0.3">
      <c r="A10" s="3" t="s">
        <v>110</v>
      </c>
      <c r="B10" s="11">
        <v>18</v>
      </c>
      <c r="C10" s="12"/>
    </row>
    <row r="11" spans="1:3" x14ac:dyDescent="0.3">
      <c r="A11" s="3" t="s">
        <v>126</v>
      </c>
      <c r="B11" s="11">
        <v>24</v>
      </c>
      <c r="C11" s="12"/>
    </row>
    <row r="12" spans="1:3" x14ac:dyDescent="0.3">
      <c r="A12" s="3" t="s">
        <v>144</v>
      </c>
      <c r="B12" s="11">
        <v>158</v>
      </c>
      <c r="C12" s="12"/>
    </row>
    <row r="25" spans="1:2" x14ac:dyDescent="0.3">
      <c r="A25" s="6" t="s">
        <v>143</v>
      </c>
      <c r="B25" t="s">
        <v>146</v>
      </c>
    </row>
    <row r="26" spans="1:2" x14ac:dyDescent="0.3">
      <c r="A26" s="7" t="s">
        <v>9</v>
      </c>
      <c r="B26">
        <v>2.75</v>
      </c>
    </row>
    <row r="27" spans="1:2" x14ac:dyDescent="0.3">
      <c r="A27" s="7" t="s">
        <v>31</v>
      </c>
      <c r="B27">
        <v>4</v>
      </c>
    </row>
    <row r="28" spans="1:2" x14ac:dyDescent="0.3">
      <c r="A28" s="7" t="s">
        <v>46</v>
      </c>
      <c r="B28">
        <v>4.5</v>
      </c>
    </row>
    <row r="29" spans="1:2" x14ac:dyDescent="0.3">
      <c r="A29" s="7" t="s">
        <v>62</v>
      </c>
      <c r="B29">
        <v>5.75</v>
      </c>
    </row>
    <row r="30" spans="1:2" x14ac:dyDescent="0.3">
      <c r="A30" s="7" t="s">
        <v>78</v>
      </c>
      <c r="B30">
        <v>4.25</v>
      </c>
    </row>
    <row r="31" spans="1:2" x14ac:dyDescent="0.3">
      <c r="A31" s="7" t="s">
        <v>94</v>
      </c>
      <c r="B31">
        <v>6</v>
      </c>
    </row>
    <row r="32" spans="1:2" x14ac:dyDescent="0.3">
      <c r="A32" s="7" t="s">
        <v>110</v>
      </c>
      <c r="B32">
        <v>4.75</v>
      </c>
    </row>
    <row r="33" spans="1:3" x14ac:dyDescent="0.3">
      <c r="A33" s="7" t="s">
        <v>126</v>
      </c>
      <c r="B33">
        <v>3.75</v>
      </c>
    </row>
    <row r="34" spans="1:3" x14ac:dyDescent="0.3">
      <c r="A34" s="7" t="s">
        <v>144</v>
      </c>
      <c r="B34">
        <v>4.46875</v>
      </c>
    </row>
    <row r="45" spans="1:3" x14ac:dyDescent="0.3">
      <c r="A45" s="1" t="s">
        <v>143</v>
      </c>
      <c r="B45" s="1" t="s">
        <v>155</v>
      </c>
      <c r="C45" s="1" t="s">
        <v>151</v>
      </c>
    </row>
    <row r="46" spans="1:3" x14ac:dyDescent="0.3">
      <c r="A46" s="1" t="s">
        <v>9</v>
      </c>
      <c r="B46" s="1">
        <v>13</v>
      </c>
      <c r="C46" s="10">
        <f>AVERAGE(B46:B53)</f>
        <v>19.75</v>
      </c>
    </row>
    <row r="47" spans="1:3" x14ac:dyDescent="0.3">
      <c r="A47" s="1" t="s">
        <v>31</v>
      </c>
      <c r="B47" s="1">
        <v>18</v>
      </c>
      <c r="C47" s="10">
        <f t="shared" ref="C47:C54" si="0">AVERAGE(B47:B54)</f>
        <v>37.875</v>
      </c>
    </row>
    <row r="48" spans="1:3" x14ac:dyDescent="0.3">
      <c r="A48" s="1" t="s">
        <v>46</v>
      </c>
      <c r="B48" s="1">
        <v>19</v>
      </c>
      <c r="C48" s="10">
        <f t="shared" si="0"/>
        <v>40.714285714285715</v>
      </c>
    </row>
    <row r="49" spans="1:3" x14ac:dyDescent="0.3">
      <c r="A49" s="1" t="s">
        <v>62</v>
      </c>
      <c r="B49" s="1">
        <v>24</v>
      </c>
      <c r="C49" s="10">
        <f t="shared" si="0"/>
        <v>44.333333333333336</v>
      </c>
    </row>
    <row r="50" spans="1:3" x14ac:dyDescent="0.3">
      <c r="A50" s="1" t="s">
        <v>78</v>
      </c>
      <c r="B50" s="1">
        <v>18</v>
      </c>
      <c r="C50" s="10">
        <f t="shared" si="0"/>
        <v>48.4</v>
      </c>
    </row>
    <row r="51" spans="1:3" x14ac:dyDescent="0.3">
      <c r="A51" s="1" t="s">
        <v>94</v>
      </c>
      <c r="B51" s="1">
        <v>24</v>
      </c>
      <c r="C51" s="10">
        <f t="shared" si="0"/>
        <v>56</v>
      </c>
    </row>
    <row r="52" spans="1:3" x14ac:dyDescent="0.3">
      <c r="A52" s="1" t="s">
        <v>110</v>
      </c>
      <c r="B52" s="1">
        <v>18</v>
      </c>
      <c r="C52" s="10">
        <f t="shared" si="0"/>
        <v>66.666666666666671</v>
      </c>
    </row>
    <row r="53" spans="1:3" x14ac:dyDescent="0.3">
      <c r="A53" s="1" t="s">
        <v>126</v>
      </c>
      <c r="B53" s="1">
        <v>24</v>
      </c>
      <c r="C53" s="10">
        <f t="shared" si="0"/>
        <v>91</v>
      </c>
    </row>
    <row r="54" spans="1:3" x14ac:dyDescent="0.3">
      <c r="A54" s="1" t="s">
        <v>144</v>
      </c>
      <c r="B54" s="1">
        <v>158</v>
      </c>
      <c r="C54" s="1">
        <f t="shared" si="0"/>
        <v>158</v>
      </c>
    </row>
    <row r="62" spans="1:3" x14ac:dyDescent="0.3">
      <c r="A62" s="1" t="s">
        <v>143</v>
      </c>
      <c r="B62" s="1" t="s">
        <v>146</v>
      </c>
    </row>
    <row r="63" spans="1:3" x14ac:dyDescent="0.3">
      <c r="A63" s="1" t="s">
        <v>9</v>
      </c>
      <c r="B63" s="1">
        <v>2.75</v>
      </c>
    </row>
    <row r="64" spans="1:3" x14ac:dyDescent="0.3">
      <c r="A64" s="1" t="s">
        <v>31</v>
      </c>
      <c r="B64" s="1">
        <v>4</v>
      </c>
    </row>
    <row r="65" spans="1:2" x14ac:dyDescent="0.3">
      <c r="A65" s="1" t="s">
        <v>46</v>
      </c>
      <c r="B65" s="1">
        <v>4.5</v>
      </c>
    </row>
    <row r="66" spans="1:2" x14ac:dyDescent="0.3">
      <c r="A66" s="1" t="s">
        <v>62</v>
      </c>
      <c r="B66" s="1">
        <v>5.75</v>
      </c>
    </row>
    <row r="67" spans="1:2" x14ac:dyDescent="0.3">
      <c r="A67" s="1" t="s">
        <v>78</v>
      </c>
      <c r="B67" s="1">
        <v>4.25</v>
      </c>
    </row>
    <row r="68" spans="1:2" x14ac:dyDescent="0.3">
      <c r="A68" s="1" t="s">
        <v>94</v>
      </c>
      <c r="B68" s="1">
        <v>6</v>
      </c>
    </row>
    <row r="69" spans="1:2" x14ac:dyDescent="0.3">
      <c r="A69" s="1" t="s">
        <v>110</v>
      </c>
      <c r="B69" s="1">
        <v>4.75</v>
      </c>
    </row>
    <row r="70" spans="1:2" x14ac:dyDescent="0.3">
      <c r="A70" s="1" t="s">
        <v>126</v>
      </c>
      <c r="B70" s="1">
        <v>3.75</v>
      </c>
    </row>
    <row r="71" spans="1:2" x14ac:dyDescent="0.3">
      <c r="A71" s="1" t="s">
        <v>144</v>
      </c>
      <c r="B71" s="1">
        <v>4.46875</v>
      </c>
    </row>
    <row r="79" spans="1:2" x14ac:dyDescent="0.3">
      <c r="A79" s="6" t="s">
        <v>143</v>
      </c>
      <c r="B79" t="s">
        <v>153</v>
      </c>
    </row>
    <row r="80" spans="1:2" x14ac:dyDescent="0.3">
      <c r="A80" s="7" t="s">
        <v>9</v>
      </c>
      <c r="B80">
        <v>4</v>
      </c>
    </row>
    <row r="81" spans="1:2" x14ac:dyDescent="0.3">
      <c r="A81" s="7" t="s">
        <v>31</v>
      </c>
      <c r="B81">
        <v>4</v>
      </c>
    </row>
    <row r="82" spans="1:2" x14ac:dyDescent="0.3">
      <c r="A82" s="7" t="s">
        <v>46</v>
      </c>
      <c r="B82">
        <v>4</v>
      </c>
    </row>
    <row r="83" spans="1:2" x14ac:dyDescent="0.3">
      <c r="A83" s="7" t="s">
        <v>62</v>
      </c>
      <c r="B83">
        <v>4</v>
      </c>
    </row>
    <row r="84" spans="1:2" x14ac:dyDescent="0.3">
      <c r="A84" s="7" t="s">
        <v>78</v>
      </c>
      <c r="B84">
        <v>4</v>
      </c>
    </row>
    <row r="85" spans="1:2" x14ac:dyDescent="0.3">
      <c r="A85" s="7" t="s">
        <v>94</v>
      </c>
      <c r="B85">
        <v>4</v>
      </c>
    </row>
    <row r="86" spans="1:2" x14ac:dyDescent="0.3">
      <c r="A86" s="7" t="s">
        <v>110</v>
      </c>
      <c r="B86">
        <v>4</v>
      </c>
    </row>
    <row r="87" spans="1:2" x14ac:dyDescent="0.3">
      <c r="A87" s="7" t="s">
        <v>126</v>
      </c>
      <c r="B87">
        <v>4</v>
      </c>
    </row>
    <row r="88" spans="1:2" x14ac:dyDescent="0.3">
      <c r="A88" s="7" t="s">
        <v>152</v>
      </c>
    </row>
    <row r="89" spans="1:2" x14ac:dyDescent="0.3">
      <c r="A89" s="7" t="s">
        <v>144</v>
      </c>
      <c r="B89">
        <v>32</v>
      </c>
    </row>
    <row r="92" spans="1:2" x14ac:dyDescent="0.3">
      <c r="A92" s="1" t="s">
        <v>143</v>
      </c>
      <c r="B92" s="1" t="s">
        <v>153</v>
      </c>
    </row>
    <row r="93" spans="1:2" x14ac:dyDescent="0.3">
      <c r="A93" s="1" t="s">
        <v>9</v>
      </c>
      <c r="B93" s="1">
        <v>4</v>
      </c>
    </row>
    <row r="94" spans="1:2" x14ac:dyDescent="0.3">
      <c r="A94" s="1" t="s">
        <v>31</v>
      </c>
      <c r="B94" s="1">
        <v>4</v>
      </c>
    </row>
    <row r="95" spans="1:2" x14ac:dyDescent="0.3">
      <c r="A95" s="1" t="s">
        <v>46</v>
      </c>
      <c r="B95" s="1">
        <v>4</v>
      </c>
    </row>
    <row r="96" spans="1:2" x14ac:dyDescent="0.3">
      <c r="A96" s="1" t="s">
        <v>62</v>
      </c>
      <c r="B96" s="1">
        <v>4</v>
      </c>
    </row>
    <row r="97" spans="1:2" x14ac:dyDescent="0.3">
      <c r="A97" s="1" t="s">
        <v>78</v>
      </c>
      <c r="B97" s="1">
        <v>4</v>
      </c>
    </row>
    <row r="98" spans="1:2" x14ac:dyDescent="0.3">
      <c r="A98" s="1" t="s">
        <v>94</v>
      </c>
      <c r="B98" s="1">
        <v>4</v>
      </c>
    </row>
    <row r="99" spans="1:2" x14ac:dyDescent="0.3">
      <c r="A99" s="1" t="s">
        <v>110</v>
      </c>
      <c r="B99" s="1">
        <v>4</v>
      </c>
    </row>
    <row r="100" spans="1:2" x14ac:dyDescent="0.3">
      <c r="A100" s="1" t="s">
        <v>126</v>
      </c>
      <c r="B100" s="1">
        <v>4</v>
      </c>
    </row>
    <row r="101" spans="1:2" x14ac:dyDescent="0.3">
      <c r="A101" s="1" t="s">
        <v>144</v>
      </c>
      <c r="B101" s="1">
        <v>32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9C8FA-80FC-4910-BF7A-E1765A4496B5}">
  <dimension ref="A1:D8"/>
  <sheetViews>
    <sheetView workbookViewId="0">
      <selection activeCell="K6" sqref="K6"/>
    </sheetView>
  </sheetViews>
  <sheetFormatPr defaultRowHeight="14.4" x14ac:dyDescent="0.3"/>
  <cols>
    <col min="1" max="1" width="13" customWidth="1"/>
    <col min="2" max="2" width="21.109375" customWidth="1"/>
    <col min="3" max="3" width="24.5546875" customWidth="1"/>
    <col min="4" max="4" width="23.88671875" customWidth="1"/>
  </cols>
  <sheetData>
    <row r="1" spans="1:4" x14ac:dyDescent="0.3">
      <c r="A1" s="8" t="s">
        <v>147</v>
      </c>
      <c r="B1" s="8" t="s">
        <v>149</v>
      </c>
      <c r="C1" s="8" t="s">
        <v>150</v>
      </c>
      <c r="D1" s="8" t="s">
        <v>148</v>
      </c>
    </row>
    <row r="2" spans="1:4" x14ac:dyDescent="0.3">
      <c r="A2" s="2">
        <v>1</v>
      </c>
      <c r="B2" s="2">
        <v>19</v>
      </c>
      <c r="C2" s="2">
        <v>19</v>
      </c>
      <c r="D2" s="2">
        <v>0</v>
      </c>
    </row>
    <row r="3" spans="1:4" x14ac:dyDescent="0.3">
      <c r="A3" s="2">
        <v>2</v>
      </c>
      <c r="B3" s="2">
        <v>16</v>
      </c>
      <c r="C3" s="2">
        <v>19</v>
      </c>
      <c r="D3" s="2">
        <v>0</v>
      </c>
    </row>
    <row r="4" spans="1:4" x14ac:dyDescent="0.3">
      <c r="A4" s="2">
        <v>3</v>
      </c>
      <c r="B4" s="2">
        <v>13</v>
      </c>
      <c r="C4" s="2">
        <v>17</v>
      </c>
      <c r="D4" s="2">
        <v>2</v>
      </c>
    </row>
    <row r="5" spans="1:4" x14ac:dyDescent="0.3">
      <c r="A5" s="2">
        <v>4</v>
      </c>
      <c r="B5" s="2">
        <v>10</v>
      </c>
      <c r="C5" s="2">
        <v>14</v>
      </c>
      <c r="D5" s="2">
        <v>3</v>
      </c>
    </row>
    <row r="6" spans="1:4" x14ac:dyDescent="0.3">
      <c r="A6" s="2">
        <v>5</v>
      </c>
      <c r="B6" s="2">
        <v>7</v>
      </c>
      <c r="C6" s="2">
        <v>10</v>
      </c>
      <c r="D6" s="2">
        <v>4</v>
      </c>
    </row>
    <row r="7" spans="1:4" x14ac:dyDescent="0.3">
      <c r="A7" s="2">
        <v>6</v>
      </c>
      <c r="B7" s="2">
        <v>3</v>
      </c>
      <c r="C7" s="2">
        <v>4</v>
      </c>
      <c r="D7" s="2">
        <v>6</v>
      </c>
    </row>
    <row r="8" spans="1:4" x14ac:dyDescent="0.3">
      <c r="A8" s="2">
        <v>7</v>
      </c>
      <c r="B8" s="2">
        <v>0</v>
      </c>
      <c r="C8" s="2">
        <v>0</v>
      </c>
      <c r="D8" s="2">
        <v>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A2B18-8597-446D-8B3E-00AC0F03402A}">
  <dimension ref="A2:T3"/>
  <sheetViews>
    <sheetView showGridLines="0" showRowColHeaders="0" tabSelected="1" zoomScale="60" zoomScaleNormal="60" workbookViewId="0">
      <selection activeCell="AE58" sqref="AE58"/>
    </sheetView>
  </sheetViews>
  <sheetFormatPr defaultRowHeight="14.4" x14ac:dyDescent="0.3"/>
  <sheetData>
    <row r="2" spans="1:20" x14ac:dyDescent="0.3">
      <c r="A2" s="13" t="s">
        <v>154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spans="1:20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</row>
  </sheetData>
  <mergeCells count="1">
    <mergeCell ref="A2:T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D4087-2BDB-4340-AE89-53AB02ACD958}">
  <dimension ref="A1:J33"/>
  <sheetViews>
    <sheetView topLeftCell="C1" workbookViewId="0">
      <selection sqref="A1:XFD1048576"/>
    </sheetView>
  </sheetViews>
  <sheetFormatPr defaultRowHeight="14.4" x14ac:dyDescent="0.3"/>
  <cols>
    <col min="1" max="1" width="22.5546875" customWidth="1"/>
    <col min="2" max="2" width="15.5546875" customWidth="1"/>
    <col min="3" max="3" width="26.21875" customWidth="1"/>
    <col min="4" max="4" width="25.5546875" bestFit="1" customWidth="1"/>
    <col min="5" max="5" width="22.33203125" customWidth="1"/>
    <col min="6" max="6" width="15.44140625" customWidth="1"/>
    <col min="7" max="7" width="21" customWidth="1"/>
    <col min="8" max="8" width="26.5546875" customWidth="1"/>
    <col min="9" max="9" width="11.33203125" bestFit="1" customWidth="1"/>
    <col min="10" max="10" width="10.88671875" bestFit="1" customWidth="1"/>
  </cols>
  <sheetData>
    <row r="1" spans="1:10" ht="15.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142</v>
      </c>
    </row>
    <row r="2" spans="1:10" x14ac:dyDescent="0.3">
      <c r="A2" s="2" t="s">
        <v>9</v>
      </c>
      <c r="B2" s="2" t="s">
        <v>10</v>
      </c>
      <c r="C2" s="2" t="s">
        <v>11</v>
      </c>
      <c r="D2" s="3" t="s">
        <v>12</v>
      </c>
      <c r="E2" s="2">
        <v>3</v>
      </c>
      <c r="F2" s="2" t="s">
        <v>13</v>
      </c>
      <c r="G2" s="2" t="s">
        <v>14</v>
      </c>
      <c r="H2" s="2" t="s">
        <v>15</v>
      </c>
      <c r="I2" s="3" t="s">
        <v>16</v>
      </c>
      <c r="J2" s="2">
        <f>H2-G2</f>
        <v>2</v>
      </c>
    </row>
    <row r="3" spans="1:10" x14ac:dyDescent="0.3">
      <c r="A3" s="2" t="s">
        <v>9</v>
      </c>
      <c r="B3" s="2" t="s">
        <v>17</v>
      </c>
      <c r="C3" s="2" t="s">
        <v>11</v>
      </c>
      <c r="D3" s="3" t="s">
        <v>18</v>
      </c>
      <c r="E3" s="2">
        <v>5</v>
      </c>
      <c r="F3" s="2" t="s">
        <v>13</v>
      </c>
      <c r="G3" s="2" t="s">
        <v>14</v>
      </c>
      <c r="H3" s="2" t="s">
        <v>19</v>
      </c>
      <c r="I3" s="3" t="s">
        <v>20</v>
      </c>
      <c r="J3" s="2">
        <f t="shared" ref="J3:J33" si="0">H3-G3</f>
        <v>4</v>
      </c>
    </row>
    <row r="4" spans="1:10" x14ac:dyDescent="0.3">
      <c r="A4" s="2" t="s">
        <v>9</v>
      </c>
      <c r="B4" s="2" t="s">
        <v>21</v>
      </c>
      <c r="C4" s="2" t="s">
        <v>22</v>
      </c>
      <c r="D4" s="3" t="s">
        <v>23</v>
      </c>
      <c r="E4" s="2">
        <v>2</v>
      </c>
      <c r="F4" s="2" t="s">
        <v>13</v>
      </c>
      <c r="G4" s="2" t="s">
        <v>24</v>
      </c>
      <c r="H4" s="2" t="s">
        <v>25</v>
      </c>
      <c r="I4" s="3" t="s">
        <v>16</v>
      </c>
      <c r="J4" s="2">
        <f t="shared" si="0"/>
        <v>2</v>
      </c>
    </row>
    <row r="5" spans="1:10" x14ac:dyDescent="0.3">
      <c r="A5" s="2" t="s">
        <v>9</v>
      </c>
      <c r="B5" s="2" t="s">
        <v>26</v>
      </c>
      <c r="C5" s="2" t="s">
        <v>27</v>
      </c>
      <c r="D5" s="3" t="s">
        <v>28</v>
      </c>
      <c r="E5" s="2">
        <v>3</v>
      </c>
      <c r="F5" s="2" t="s">
        <v>13</v>
      </c>
      <c r="G5" s="2" t="s">
        <v>15</v>
      </c>
      <c r="H5" s="2" t="s">
        <v>29</v>
      </c>
      <c r="I5" s="3" t="s">
        <v>30</v>
      </c>
      <c r="J5" s="2">
        <f t="shared" si="0"/>
        <v>3</v>
      </c>
    </row>
    <row r="6" spans="1:10" x14ac:dyDescent="0.3">
      <c r="A6" s="2" t="s">
        <v>31</v>
      </c>
      <c r="B6" s="2" t="s">
        <v>32</v>
      </c>
      <c r="C6" s="2" t="s">
        <v>11</v>
      </c>
      <c r="D6" s="3" t="s">
        <v>33</v>
      </c>
      <c r="E6" s="2">
        <v>5</v>
      </c>
      <c r="F6" s="2" t="s">
        <v>13</v>
      </c>
      <c r="G6" s="2" t="s">
        <v>34</v>
      </c>
      <c r="H6" s="2" t="s">
        <v>35</v>
      </c>
      <c r="I6" s="3" t="s">
        <v>16</v>
      </c>
      <c r="J6" s="2">
        <f t="shared" si="0"/>
        <v>4</v>
      </c>
    </row>
    <row r="7" spans="1:10" x14ac:dyDescent="0.3">
      <c r="A7" s="2" t="s">
        <v>31</v>
      </c>
      <c r="B7" s="2" t="s">
        <v>36</v>
      </c>
      <c r="C7" s="2" t="s">
        <v>11</v>
      </c>
      <c r="D7" s="3" t="s">
        <v>37</v>
      </c>
      <c r="E7" s="2">
        <v>8</v>
      </c>
      <c r="F7" s="2" t="s">
        <v>13</v>
      </c>
      <c r="G7" s="2" t="s">
        <v>34</v>
      </c>
      <c r="H7" s="2" t="s">
        <v>38</v>
      </c>
      <c r="I7" s="3" t="s">
        <v>20</v>
      </c>
      <c r="J7" s="2">
        <f t="shared" si="0"/>
        <v>6</v>
      </c>
    </row>
    <row r="8" spans="1:10" x14ac:dyDescent="0.3">
      <c r="A8" s="2" t="s">
        <v>31</v>
      </c>
      <c r="B8" s="2" t="s">
        <v>39</v>
      </c>
      <c r="C8" s="2" t="s">
        <v>22</v>
      </c>
      <c r="D8" s="3" t="s">
        <v>40</v>
      </c>
      <c r="E8" s="2">
        <v>3</v>
      </c>
      <c r="F8" s="2" t="s">
        <v>13</v>
      </c>
      <c r="G8" s="2" t="s">
        <v>41</v>
      </c>
      <c r="H8" s="2" t="s">
        <v>42</v>
      </c>
      <c r="I8" s="3" t="s">
        <v>30</v>
      </c>
      <c r="J8" s="2">
        <f t="shared" si="0"/>
        <v>4</v>
      </c>
    </row>
    <row r="9" spans="1:10" x14ac:dyDescent="0.3">
      <c r="A9" s="2" t="s">
        <v>31</v>
      </c>
      <c r="B9" s="2" t="s">
        <v>43</v>
      </c>
      <c r="C9" s="2" t="s">
        <v>27</v>
      </c>
      <c r="D9" s="3" t="s">
        <v>44</v>
      </c>
      <c r="E9" s="2">
        <v>2</v>
      </c>
      <c r="F9" s="2" t="s">
        <v>13</v>
      </c>
      <c r="G9" s="2" t="s">
        <v>45</v>
      </c>
      <c r="H9" s="2" t="s">
        <v>35</v>
      </c>
      <c r="I9" s="3" t="s">
        <v>16</v>
      </c>
      <c r="J9" s="2">
        <f t="shared" si="0"/>
        <v>2</v>
      </c>
    </row>
    <row r="10" spans="1:10" x14ac:dyDescent="0.3">
      <c r="A10" s="2" t="s">
        <v>46</v>
      </c>
      <c r="B10" s="2" t="s">
        <v>47</v>
      </c>
      <c r="C10" s="2" t="s">
        <v>11</v>
      </c>
      <c r="D10" s="3" t="s">
        <v>48</v>
      </c>
      <c r="E10" s="2">
        <v>8</v>
      </c>
      <c r="F10" s="2" t="s">
        <v>13</v>
      </c>
      <c r="G10" s="2" t="s">
        <v>49</v>
      </c>
      <c r="H10" s="2" t="s">
        <v>50</v>
      </c>
      <c r="I10" s="3" t="s">
        <v>20</v>
      </c>
      <c r="J10" s="2">
        <f t="shared" si="0"/>
        <v>6</v>
      </c>
    </row>
    <row r="11" spans="1:10" x14ac:dyDescent="0.3">
      <c r="A11" s="2" t="s">
        <v>46</v>
      </c>
      <c r="B11" s="2" t="s">
        <v>51</v>
      </c>
      <c r="C11" s="2" t="s">
        <v>22</v>
      </c>
      <c r="D11" s="3" t="s">
        <v>52</v>
      </c>
      <c r="E11" s="2">
        <v>3</v>
      </c>
      <c r="F11" s="2" t="s">
        <v>13</v>
      </c>
      <c r="G11" s="2" t="s">
        <v>49</v>
      </c>
      <c r="H11" s="2" t="s">
        <v>53</v>
      </c>
      <c r="I11" s="3" t="s">
        <v>16</v>
      </c>
      <c r="J11" s="2">
        <f t="shared" si="0"/>
        <v>3</v>
      </c>
    </row>
    <row r="12" spans="1:10" x14ac:dyDescent="0.3">
      <c r="A12" s="2" t="s">
        <v>46</v>
      </c>
      <c r="B12" s="2" t="s">
        <v>54</v>
      </c>
      <c r="C12" s="2" t="s">
        <v>11</v>
      </c>
      <c r="D12" s="3" t="s">
        <v>55</v>
      </c>
      <c r="E12" s="2">
        <v>5</v>
      </c>
      <c r="F12" s="2" t="s">
        <v>13</v>
      </c>
      <c r="G12" s="2" t="s">
        <v>56</v>
      </c>
      <c r="H12" s="2" t="s">
        <v>57</v>
      </c>
      <c r="I12" s="3" t="s">
        <v>30</v>
      </c>
      <c r="J12" s="2">
        <f t="shared" si="0"/>
        <v>6</v>
      </c>
    </row>
    <row r="13" spans="1:10" x14ac:dyDescent="0.3">
      <c r="A13" s="2" t="s">
        <v>46</v>
      </c>
      <c r="B13" s="2" t="s">
        <v>58</v>
      </c>
      <c r="C13" s="2" t="s">
        <v>27</v>
      </c>
      <c r="D13" s="3" t="s">
        <v>59</v>
      </c>
      <c r="E13" s="2">
        <v>3</v>
      </c>
      <c r="F13" s="2" t="s">
        <v>13</v>
      </c>
      <c r="G13" s="2" t="s">
        <v>60</v>
      </c>
      <c r="H13" s="2" t="s">
        <v>61</v>
      </c>
      <c r="I13" s="3" t="s">
        <v>16</v>
      </c>
      <c r="J13" s="2">
        <f t="shared" si="0"/>
        <v>3</v>
      </c>
    </row>
    <row r="14" spans="1:10" x14ac:dyDescent="0.3">
      <c r="A14" s="2" t="s">
        <v>62</v>
      </c>
      <c r="B14" s="2" t="s">
        <v>63</v>
      </c>
      <c r="C14" s="2" t="s">
        <v>11</v>
      </c>
      <c r="D14" s="3" t="s">
        <v>64</v>
      </c>
      <c r="E14" s="2">
        <v>8</v>
      </c>
      <c r="F14" s="2" t="s">
        <v>13</v>
      </c>
      <c r="G14" s="2" t="s">
        <v>65</v>
      </c>
      <c r="H14" s="2" t="s">
        <v>66</v>
      </c>
      <c r="I14" s="3" t="s">
        <v>20</v>
      </c>
      <c r="J14" s="2">
        <f t="shared" si="0"/>
        <v>7</v>
      </c>
    </row>
    <row r="15" spans="1:10" x14ac:dyDescent="0.3">
      <c r="A15" s="2" t="s">
        <v>62</v>
      </c>
      <c r="B15" s="2" t="s">
        <v>67</v>
      </c>
      <c r="C15" s="2" t="s">
        <v>22</v>
      </c>
      <c r="D15" s="3" t="s">
        <v>68</v>
      </c>
      <c r="E15" s="2">
        <v>5</v>
      </c>
      <c r="F15" s="2" t="s">
        <v>13</v>
      </c>
      <c r="G15" s="2" t="s">
        <v>65</v>
      </c>
      <c r="H15" s="2" t="s">
        <v>69</v>
      </c>
      <c r="I15" s="3" t="s">
        <v>16</v>
      </c>
      <c r="J15" s="2">
        <f t="shared" si="0"/>
        <v>5</v>
      </c>
    </row>
    <row r="16" spans="1:10" x14ac:dyDescent="0.3">
      <c r="A16" s="2" t="s">
        <v>62</v>
      </c>
      <c r="B16" s="2" t="s">
        <v>70</v>
      </c>
      <c r="C16" s="2" t="s">
        <v>27</v>
      </c>
      <c r="D16" s="3" t="s">
        <v>71</v>
      </c>
      <c r="E16" s="2">
        <v>3</v>
      </c>
      <c r="F16" s="2" t="s">
        <v>13</v>
      </c>
      <c r="G16" s="2" t="s">
        <v>72</v>
      </c>
      <c r="H16" s="2" t="s">
        <v>73</v>
      </c>
      <c r="I16" s="3" t="s">
        <v>30</v>
      </c>
      <c r="J16" s="2">
        <f t="shared" si="0"/>
        <v>5</v>
      </c>
    </row>
    <row r="17" spans="1:10" x14ac:dyDescent="0.3">
      <c r="A17" s="2" t="s">
        <v>62</v>
      </c>
      <c r="B17" s="2" t="s">
        <v>74</v>
      </c>
      <c r="C17" s="2" t="s">
        <v>11</v>
      </c>
      <c r="D17" s="3" t="s">
        <v>75</v>
      </c>
      <c r="E17" s="2">
        <v>8</v>
      </c>
      <c r="F17" s="2" t="s">
        <v>13</v>
      </c>
      <c r="G17" s="2" t="s">
        <v>76</v>
      </c>
      <c r="H17" s="2" t="s">
        <v>77</v>
      </c>
      <c r="I17" s="3" t="s">
        <v>16</v>
      </c>
      <c r="J17" s="2">
        <f t="shared" si="0"/>
        <v>6</v>
      </c>
    </row>
    <row r="18" spans="1:10" x14ac:dyDescent="0.3">
      <c r="A18" s="2" t="s">
        <v>78</v>
      </c>
      <c r="B18" s="2" t="s">
        <v>79</v>
      </c>
      <c r="C18" s="2" t="s">
        <v>11</v>
      </c>
      <c r="D18" s="3" t="s">
        <v>80</v>
      </c>
      <c r="E18" s="2">
        <v>5</v>
      </c>
      <c r="F18" s="2" t="s">
        <v>13</v>
      </c>
      <c r="G18" s="2" t="s">
        <v>81</v>
      </c>
      <c r="H18" s="2" t="s">
        <v>82</v>
      </c>
      <c r="I18" s="3" t="s">
        <v>20</v>
      </c>
      <c r="J18" s="2">
        <f t="shared" si="0"/>
        <v>5</v>
      </c>
    </row>
    <row r="19" spans="1:10" x14ac:dyDescent="0.3">
      <c r="A19" s="2" t="s">
        <v>78</v>
      </c>
      <c r="B19" s="2" t="s">
        <v>83</v>
      </c>
      <c r="C19" s="2" t="s">
        <v>22</v>
      </c>
      <c r="D19" s="3" t="s">
        <v>84</v>
      </c>
      <c r="E19" s="2">
        <v>3</v>
      </c>
      <c r="F19" s="2" t="s">
        <v>13</v>
      </c>
      <c r="G19" s="2" t="s">
        <v>81</v>
      </c>
      <c r="H19" s="2" t="s">
        <v>85</v>
      </c>
      <c r="I19" s="3" t="s">
        <v>16</v>
      </c>
      <c r="J19" s="2">
        <f t="shared" si="0"/>
        <v>3</v>
      </c>
    </row>
    <row r="20" spans="1:10" x14ac:dyDescent="0.3">
      <c r="A20" s="2" t="s">
        <v>78</v>
      </c>
      <c r="B20" s="2" t="s">
        <v>86</v>
      </c>
      <c r="C20" s="2" t="s">
        <v>27</v>
      </c>
      <c r="D20" s="3" t="s">
        <v>87</v>
      </c>
      <c r="E20" s="2">
        <v>2</v>
      </c>
      <c r="F20" s="2" t="s">
        <v>13</v>
      </c>
      <c r="G20" s="2" t="s">
        <v>88</v>
      </c>
      <c r="H20" s="2" t="s">
        <v>89</v>
      </c>
      <c r="I20" s="3" t="s">
        <v>30</v>
      </c>
      <c r="J20" s="2">
        <f t="shared" si="0"/>
        <v>3</v>
      </c>
    </row>
    <row r="21" spans="1:10" x14ac:dyDescent="0.3">
      <c r="A21" s="2" t="s">
        <v>78</v>
      </c>
      <c r="B21" s="2" t="s">
        <v>90</v>
      </c>
      <c r="C21" s="2" t="s">
        <v>11</v>
      </c>
      <c r="D21" s="3" t="s">
        <v>91</v>
      </c>
      <c r="E21" s="2">
        <v>8</v>
      </c>
      <c r="F21" s="2" t="s">
        <v>13</v>
      </c>
      <c r="G21" s="2" t="s">
        <v>92</v>
      </c>
      <c r="H21" s="2" t="s">
        <v>93</v>
      </c>
      <c r="I21" s="3" t="s">
        <v>16</v>
      </c>
      <c r="J21" s="2">
        <f t="shared" si="0"/>
        <v>6</v>
      </c>
    </row>
    <row r="22" spans="1:10" x14ac:dyDescent="0.3">
      <c r="A22" s="2" t="s">
        <v>94</v>
      </c>
      <c r="B22" s="2" t="s">
        <v>95</v>
      </c>
      <c r="C22" s="2" t="s">
        <v>11</v>
      </c>
      <c r="D22" s="3" t="s">
        <v>96</v>
      </c>
      <c r="E22" s="2">
        <v>8</v>
      </c>
      <c r="F22" s="2" t="s">
        <v>13</v>
      </c>
      <c r="G22" s="2" t="s">
        <v>97</v>
      </c>
      <c r="H22" s="2" t="s">
        <v>98</v>
      </c>
      <c r="I22" s="3" t="s">
        <v>20</v>
      </c>
      <c r="J22" s="2">
        <f t="shared" si="0"/>
        <v>7</v>
      </c>
    </row>
    <row r="23" spans="1:10" x14ac:dyDescent="0.3">
      <c r="A23" s="2" t="s">
        <v>94</v>
      </c>
      <c r="B23" s="2" t="s">
        <v>99</v>
      </c>
      <c r="C23" s="2" t="s">
        <v>22</v>
      </c>
      <c r="D23" s="3" t="s">
        <v>100</v>
      </c>
      <c r="E23" s="2">
        <v>5</v>
      </c>
      <c r="F23" s="2" t="s">
        <v>13</v>
      </c>
      <c r="G23" s="2" t="s">
        <v>97</v>
      </c>
      <c r="H23" s="2" t="s">
        <v>101</v>
      </c>
      <c r="I23" s="3" t="s">
        <v>16</v>
      </c>
      <c r="J23" s="2">
        <f t="shared" si="0"/>
        <v>5</v>
      </c>
    </row>
    <row r="24" spans="1:10" x14ac:dyDescent="0.3">
      <c r="A24" s="2" t="s">
        <v>94</v>
      </c>
      <c r="B24" s="2" t="s">
        <v>102</v>
      </c>
      <c r="C24" s="2" t="s">
        <v>27</v>
      </c>
      <c r="D24" s="3" t="s">
        <v>103</v>
      </c>
      <c r="E24" s="2">
        <v>3</v>
      </c>
      <c r="F24" s="2" t="s">
        <v>13</v>
      </c>
      <c r="G24" s="2" t="s">
        <v>104</v>
      </c>
      <c r="H24" s="2" t="s">
        <v>105</v>
      </c>
      <c r="I24" s="3" t="s">
        <v>30</v>
      </c>
      <c r="J24" s="2">
        <f t="shared" si="0"/>
        <v>5</v>
      </c>
    </row>
    <row r="25" spans="1:10" x14ac:dyDescent="0.3">
      <c r="A25" s="2" t="s">
        <v>94</v>
      </c>
      <c r="B25" s="2" t="s">
        <v>106</v>
      </c>
      <c r="C25" s="2" t="s">
        <v>11</v>
      </c>
      <c r="D25" s="3" t="s">
        <v>107</v>
      </c>
      <c r="E25" s="2">
        <v>8</v>
      </c>
      <c r="F25" s="2" t="s">
        <v>13</v>
      </c>
      <c r="G25" s="2" t="s">
        <v>108</v>
      </c>
      <c r="H25" s="2" t="s">
        <v>109</v>
      </c>
      <c r="I25" s="3" t="s">
        <v>16</v>
      </c>
      <c r="J25" s="2">
        <f t="shared" si="0"/>
        <v>7</v>
      </c>
    </row>
    <row r="26" spans="1:10" x14ac:dyDescent="0.3">
      <c r="A26" s="2" t="s">
        <v>110</v>
      </c>
      <c r="B26" s="2" t="s">
        <v>111</v>
      </c>
      <c r="C26" s="2" t="s">
        <v>11</v>
      </c>
      <c r="D26" s="3" t="s">
        <v>112</v>
      </c>
      <c r="E26" s="2">
        <v>5</v>
      </c>
      <c r="F26" s="2" t="s">
        <v>13</v>
      </c>
      <c r="G26" s="2" t="s">
        <v>113</v>
      </c>
      <c r="H26" s="2" t="s">
        <v>114</v>
      </c>
      <c r="I26" s="3" t="s">
        <v>20</v>
      </c>
      <c r="J26" s="2">
        <f t="shared" si="0"/>
        <v>6</v>
      </c>
    </row>
    <row r="27" spans="1:10" x14ac:dyDescent="0.3">
      <c r="A27" s="2" t="s">
        <v>110</v>
      </c>
      <c r="B27" s="2" t="s">
        <v>115</v>
      </c>
      <c r="C27" s="2" t="s">
        <v>22</v>
      </c>
      <c r="D27" s="3" t="s">
        <v>116</v>
      </c>
      <c r="E27" s="2">
        <v>3</v>
      </c>
      <c r="F27" s="2" t="s">
        <v>13</v>
      </c>
      <c r="G27" s="2" t="s">
        <v>113</v>
      </c>
      <c r="H27" s="2" t="s">
        <v>117</v>
      </c>
      <c r="I27" s="3" t="s">
        <v>16</v>
      </c>
      <c r="J27" s="2">
        <f t="shared" si="0"/>
        <v>3</v>
      </c>
    </row>
    <row r="28" spans="1:10" x14ac:dyDescent="0.3">
      <c r="A28" s="2" t="s">
        <v>110</v>
      </c>
      <c r="B28" s="2" t="s">
        <v>118</v>
      </c>
      <c r="C28" s="2" t="s">
        <v>27</v>
      </c>
      <c r="D28" s="3" t="s">
        <v>119</v>
      </c>
      <c r="E28" s="2">
        <v>2</v>
      </c>
      <c r="F28" s="2" t="s">
        <v>13</v>
      </c>
      <c r="G28" s="2" t="s">
        <v>120</v>
      </c>
      <c r="H28" s="2" t="s">
        <v>121</v>
      </c>
      <c r="I28" s="3" t="s">
        <v>30</v>
      </c>
      <c r="J28" s="2">
        <f t="shared" si="0"/>
        <v>4</v>
      </c>
    </row>
    <row r="29" spans="1:10" x14ac:dyDescent="0.3">
      <c r="A29" s="2" t="s">
        <v>110</v>
      </c>
      <c r="B29" s="2" t="s">
        <v>122</v>
      </c>
      <c r="C29" s="2" t="s">
        <v>11</v>
      </c>
      <c r="D29" s="3" t="s">
        <v>123</v>
      </c>
      <c r="E29" s="2">
        <v>8</v>
      </c>
      <c r="F29" s="2" t="s">
        <v>13</v>
      </c>
      <c r="G29" s="2" t="s">
        <v>124</v>
      </c>
      <c r="H29" s="2" t="s">
        <v>125</v>
      </c>
      <c r="I29" s="3" t="s">
        <v>16</v>
      </c>
      <c r="J29" s="2">
        <f t="shared" si="0"/>
        <v>6</v>
      </c>
    </row>
    <row r="30" spans="1:10" x14ac:dyDescent="0.3">
      <c r="A30" s="2" t="s">
        <v>126</v>
      </c>
      <c r="B30" s="2" t="s">
        <v>127</v>
      </c>
      <c r="C30" s="2" t="s">
        <v>11</v>
      </c>
      <c r="D30" s="3" t="s">
        <v>128</v>
      </c>
      <c r="E30" s="2">
        <v>8</v>
      </c>
      <c r="F30" s="2" t="s">
        <v>13</v>
      </c>
      <c r="G30" s="2" t="s">
        <v>129</v>
      </c>
      <c r="H30" s="2" t="s">
        <v>130</v>
      </c>
      <c r="I30" s="3" t="s">
        <v>20</v>
      </c>
      <c r="J30" s="2">
        <f t="shared" si="0"/>
        <v>5</v>
      </c>
    </row>
    <row r="31" spans="1:10" x14ac:dyDescent="0.3">
      <c r="A31" s="2" t="s">
        <v>126</v>
      </c>
      <c r="B31" s="2" t="s">
        <v>131</v>
      </c>
      <c r="C31" s="2" t="s">
        <v>22</v>
      </c>
      <c r="D31" s="3" t="s">
        <v>132</v>
      </c>
      <c r="E31" s="2">
        <v>5</v>
      </c>
      <c r="F31" s="2" t="s">
        <v>13</v>
      </c>
      <c r="G31" s="2" t="s">
        <v>129</v>
      </c>
      <c r="H31" s="2" t="s">
        <v>133</v>
      </c>
      <c r="I31" s="3" t="s">
        <v>16</v>
      </c>
      <c r="J31" s="2">
        <f t="shared" si="0"/>
        <v>3</v>
      </c>
    </row>
    <row r="32" spans="1:10" x14ac:dyDescent="0.3">
      <c r="A32" s="2" t="s">
        <v>126</v>
      </c>
      <c r="B32" s="2" t="s">
        <v>134</v>
      </c>
      <c r="C32" s="2" t="s">
        <v>27</v>
      </c>
      <c r="D32" s="3" t="s">
        <v>135</v>
      </c>
      <c r="E32" s="2">
        <v>3</v>
      </c>
      <c r="F32" s="2" t="s">
        <v>13</v>
      </c>
      <c r="G32" s="2" t="s">
        <v>136</v>
      </c>
      <c r="H32" s="2" t="s">
        <v>137</v>
      </c>
      <c r="I32" s="3" t="s">
        <v>30</v>
      </c>
      <c r="J32" s="2">
        <f t="shared" si="0"/>
        <v>3</v>
      </c>
    </row>
    <row r="33" spans="1:10" x14ac:dyDescent="0.3">
      <c r="A33" s="2" t="s">
        <v>126</v>
      </c>
      <c r="B33" s="2" t="s">
        <v>138</v>
      </c>
      <c r="C33" s="2" t="s">
        <v>11</v>
      </c>
      <c r="D33" s="3" t="s">
        <v>139</v>
      </c>
      <c r="E33" s="2">
        <v>8</v>
      </c>
      <c r="F33" s="2" t="s">
        <v>13</v>
      </c>
      <c r="G33" s="2" t="s">
        <v>140</v>
      </c>
      <c r="H33" s="2" t="s">
        <v>141</v>
      </c>
      <c r="I33" s="3" t="s">
        <v>16</v>
      </c>
      <c r="J33" s="2">
        <f t="shared" si="0"/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Burndown -sprint 1</vt:lpstr>
      <vt:lpstr>Agile Performance Dashboard</vt:lpstr>
      <vt:lpstr>Raw 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Vineetha V</dc:creator>
  <cp:lastModifiedBy>Vineetha V</cp:lastModifiedBy>
  <dcterms:created xsi:type="dcterms:W3CDTF">2026-04-13T09:28:32Z</dcterms:created>
  <dcterms:modified xsi:type="dcterms:W3CDTF">2026-04-14T14:48:35Z</dcterms:modified>
</cp:coreProperties>
</file>